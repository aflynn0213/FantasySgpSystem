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lyn\repos\Baseball\FantasySgpSystem\included\"/>
    </mc:Choice>
  </mc:AlternateContent>
  <xr:revisionPtr revIDLastSave="0" documentId="13_ncr:1_{F2A723A8-34D1-4AF8-888E-3C3069356DE7}" xr6:coauthVersionLast="47" xr6:coauthVersionMax="47" xr10:uidLastSave="{00000000-0000-0000-0000-000000000000}"/>
  <bookViews>
    <workbookView xWindow="-120" yWindow="-120" windowWidth="20730" windowHeight="11040" xr2:uid="{CDE96B8F-12BE-474E-931C-48604B977C2E}"/>
  </bookViews>
  <sheets>
    <sheet name="Historical Data" sheetId="1" r:id="rId1"/>
    <sheet name="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" l="1"/>
  <c r="X26" i="1"/>
  <c r="S3" i="1"/>
  <c r="T3" i="1"/>
  <c r="U3" i="1"/>
  <c r="V3" i="1"/>
  <c r="W3" i="1"/>
  <c r="X3" i="1"/>
  <c r="Y3" i="1"/>
  <c r="Z3" i="1"/>
  <c r="AA3" i="1"/>
  <c r="AB3" i="1"/>
  <c r="S4" i="1"/>
  <c r="T4" i="1"/>
  <c r="U4" i="1"/>
  <c r="V4" i="1"/>
  <c r="W4" i="1"/>
  <c r="X4" i="1"/>
  <c r="Y4" i="1"/>
  <c r="Z4" i="1"/>
  <c r="AA4" i="1"/>
  <c r="AB4" i="1"/>
  <c r="S5" i="1"/>
  <c r="T5" i="1"/>
  <c r="U5" i="1"/>
  <c r="V5" i="1"/>
  <c r="W5" i="1"/>
  <c r="X5" i="1"/>
  <c r="Y5" i="1"/>
  <c r="Z5" i="1"/>
  <c r="AA5" i="1"/>
  <c r="AB5" i="1"/>
  <c r="S6" i="1"/>
  <c r="T6" i="1"/>
  <c r="U6" i="1"/>
  <c r="V6" i="1"/>
  <c r="W6" i="1"/>
  <c r="X6" i="1"/>
  <c r="Y6" i="1"/>
  <c r="Z6" i="1"/>
  <c r="AA6" i="1"/>
  <c r="AB6" i="1"/>
  <c r="S7" i="1"/>
  <c r="T7" i="1"/>
  <c r="U7" i="1"/>
  <c r="V7" i="1"/>
  <c r="W7" i="1"/>
  <c r="X7" i="1"/>
  <c r="Y7" i="1"/>
  <c r="Z7" i="1"/>
  <c r="AA7" i="1"/>
  <c r="AB7" i="1"/>
  <c r="S8" i="1"/>
  <c r="T8" i="1"/>
  <c r="U8" i="1"/>
  <c r="V8" i="1"/>
  <c r="W8" i="1"/>
  <c r="X8" i="1"/>
  <c r="Y8" i="1"/>
  <c r="Z8" i="1"/>
  <c r="AA8" i="1"/>
  <c r="AB8" i="1"/>
  <c r="S9" i="1"/>
  <c r="T9" i="1"/>
  <c r="U9" i="1"/>
  <c r="V9" i="1"/>
  <c r="W9" i="1"/>
  <c r="X9" i="1"/>
  <c r="Y9" i="1"/>
  <c r="Z9" i="1"/>
  <c r="AA9" i="1"/>
  <c r="AB9" i="1"/>
  <c r="S10" i="1"/>
  <c r="T10" i="1"/>
  <c r="U10" i="1"/>
  <c r="V10" i="1"/>
  <c r="W10" i="1"/>
  <c r="X10" i="1"/>
  <c r="Y10" i="1"/>
  <c r="Z10" i="1"/>
  <c r="AA10" i="1"/>
  <c r="AB10" i="1"/>
  <c r="S11" i="1"/>
  <c r="T11" i="1"/>
  <c r="U11" i="1"/>
  <c r="V11" i="1"/>
  <c r="W11" i="1"/>
  <c r="X11" i="1"/>
  <c r="Y11" i="1"/>
  <c r="Z11" i="1"/>
  <c r="AA11" i="1"/>
  <c r="AB11" i="1"/>
  <c r="S12" i="1"/>
  <c r="T12" i="1"/>
  <c r="U12" i="1"/>
  <c r="V12" i="1"/>
  <c r="W12" i="1"/>
  <c r="X12" i="1"/>
  <c r="Y12" i="1"/>
  <c r="Z12" i="1"/>
  <c r="AA12" i="1"/>
  <c r="AB12" i="1"/>
  <c r="S13" i="1"/>
  <c r="T13" i="1"/>
  <c r="U13" i="1"/>
  <c r="V13" i="1"/>
  <c r="W13" i="1"/>
  <c r="X13" i="1"/>
  <c r="Y13" i="1"/>
  <c r="Z13" i="1"/>
  <c r="AA13" i="1"/>
  <c r="AB13" i="1"/>
  <c r="S14" i="1"/>
  <c r="T14" i="1"/>
  <c r="U14" i="1"/>
  <c r="V14" i="1"/>
  <c r="W14" i="1"/>
  <c r="X14" i="1"/>
  <c r="Y14" i="1"/>
  <c r="Z14" i="1"/>
  <c r="AA14" i="1"/>
  <c r="AB14" i="1"/>
  <c r="R4" i="1"/>
  <c r="R5" i="1"/>
  <c r="R6" i="1"/>
  <c r="R7" i="1"/>
  <c r="R8" i="1"/>
  <c r="R9" i="1"/>
  <c r="R10" i="1"/>
  <c r="R11" i="1"/>
  <c r="R12" i="1"/>
  <c r="R13" i="1"/>
  <c r="R14" i="1"/>
  <c r="R3" i="1"/>
  <c r="Q4" i="1"/>
  <c r="Q5" i="1"/>
  <c r="Q6" i="1"/>
  <c r="Q7" i="1"/>
  <c r="Q8" i="1"/>
  <c r="Q9" i="1"/>
  <c r="Q10" i="1"/>
  <c r="Q11" i="1"/>
  <c r="Q12" i="1"/>
  <c r="Q13" i="1"/>
  <c r="Q14" i="1"/>
  <c r="Q3" i="1"/>
  <c r="M95" i="1" a="1"/>
  <c r="M95" i="1" s="1"/>
  <c r="L95" i="1" a="1"/>
  <c r="L95" i="1" s="1"/>
  <c r="K95" i="1" a="1"/>
  <c r="K95" i="1" s="1"/>
  <c r="J95" i="1" a="1"/>
  <c r="J95" i="1" s="1"/>
  <c r="H95" i="1" a="1"/>
  <c r="H95" i="1" s="1"/>
  <c r="I95" i="1" a="1"/>
  <c r="I95" i="1" s="1"/>
  <c r="D95" i="1" a="1"/>
  <c r="D95" i="1" s="1"/>
  <c r="E95" i="1" a="1"/>
  <c r="E95" i="1" s="1"/>
  <c r="F95" i="1" a="1"/>
  <c r="F95" i="1" s="1"/>
  <c r="G95" i="1" a="1"/>
  <c r="G95" i="1" s="1"/>
  <c r="C95" i="1" a="1"/>
  <c r="C95" i="1" s="1"/>
  <c r="B95" i="1" a="1"/>
  <c r="B95" i="1" s="1"/>
  <c r="M66" i="1" a="1"/>
  <c r="M66" i="1" s="1"/>
  <c r="L66" i="1" a="1"/>
  <c r="K66" i="1" a="1"/>
  <c r="K66" i="1" s="1"/>
  <c r="J66" i="1" a="1"/>
  <c r="I66" i="1" a="1"/>
  <c r="I66" i="1" s="1"/>
  <c r="H66" i="1" a="1"/>
  <c r="G66" i="1" a="1"/>
  <c r="G66" i="1" s="1"/>
  <c r="F66" i="1" a="1"/>
  <c r="E66" i="1" a="1"/>
  <c r="E66" i="1" s="1"/>
  <c r="D66" i="1" a="1"/>
  <c r="C66" i="1" a="1"/>
  <c r="C66" i="1" s="1"/>
  <c r="B66" i="1" a="1"/>
  <c r="D48" i="1"/>
  <c r="B48" i="1"/>
  <c r="M47" i="1"/>
  <c r="M48" i="1" s="1"/>
  <c r="L47" i="1"/>
  <c r="K47" i="1"/>
  <c r="K48" i="1" s="1"/>
  <c r="J47" i="1"/>
  <c r="I47" i="1"/>
  <c r="I48" i="1" s="1"/>
  <c r="H47" i="1"/>
  <c r="J48" i="1" s="1"/>
  <c r="G47" i="1"/>
  <c r="G48" i="1" s="1"/>
  <c r="F47" i="1"/>
  <c r="F48" i="1" s="1"/>
  <c r="E47" i="1"/>
  <c r="E48" i="1" s="1"/>
  <c r="D47" i="1"/>
  <c r="C47" i="1"/>
  <c r="C48" i="1" s="1"/>
  <c r="B47" i="1"/>
  <c r="M31" i="1"/>
  <c r="M32" i="1" s="1"/>
  <c r="L31" i="1"/>
  <c r="L32" i="1" s="1"/>
  <c r="K31" i="1"/>
  <c r="K32" i="1" s="1"/>
  <c r="J31" i="1"/>
  <c r="J32" i="1" s="1"/>
  <c r="I31" i="1"/>
  <c r="I32" i="1" s="1"/>
  <c r="H31" i="1"/>
  <c r="H32" i="1" s="1"/>
  <c r="G31" i="1"/>
  <c r="G32" i="1" s="1"/>
  <c r="F31" i="1"/>
  <c r="F32" i="1" s="1"/>
  <c r="E31" i="1"/>
  <c r="E32" i="1" s="1"/>
  <c r="D31" i="1"/>
  <c r="D32" i="1" s="1"/>
  <c r="C31" i="1"/>
  <c r="C32" i="1" s="1"/>
  <c r="B31" i="1"/>
  <c r="B32" i="1" s="1"/>
  <c r="M16" i="1"/>
  <c r="G16" i="1"/>
  <c r="E16" i="1"/>
  <c r="M15" i="1"/>
  <c r="L15" i="1"/>
  <c r="L16" i="1" s="1"/>
  <c r="K15" i="1"/>
  <c r="K16" i="1" s="1"/>
  <c r="J15" i="1"/>
  <c r="J16" i="1" s="1"/>
  <c r="I15" i="1"/>
  <c r="I16" i="1" s="1"/>
  <c r="H15" i="1"/>
  <c r="H16" i="1" s="1"/>
  <c r="G15" i="1"/>
  <c r="F15" i="1"/>
  <c r="F16" i="1" s="1"/>
  <c r="E15" i="1"/>
  <c r="D15" i="1"/>
  <c r="D16" i="1" s="1"/>
  <c r="C15" i="1"/>
  <c r="C16" i="1" s="1"/>
  <c r="B15" i="1"/>
  <c r="B16" i="1" s="1"/>
  <c r="Z37" i="1"/>
  <c r="Z38" i="1" s="1"/>
  <c r="V37" i="1"/>
  <c r="V38" i="1" s="1"/>
  <c r="R37" i="1"/>
  <c r="R38" i="1" s="1"/>
  <c r="Z39" i="1"/>
  <c r="Z40" i="1" s="1"/>
  <c r="V27" i="1"/>
  <c r="C6" i="2" s="1"/>
  <c r="R39" i="1"/>
  <c r="R40" i="1" s="1"/>
  <c r="F1" i="1"/>
  <c r="E1" i="1"/>
  <c r="V42" i="1" l="1"/>
  <c r="V32" i="1"/>
  <c r="V31" i="1"/>
  <c r="V21" i="1"/>
  <c r="V19" i="1"/>
  <c r="V34" i="1" s="1"/>
  <c r="V17" i="1"/>
  <c r="V18" i="1" s="1"/>
  <c r="V20" i="1"/>
  <c r="V41" i="1"/>
  <c r="V33" i="1"/>
  <c r="X31" i="1"/>
  <c r="X19" i="1"/>
  <c r="R41" i="1"/>
  <c r="R33" i="1"/>
  <c r="R17" i="1"/>
  <c r="R18" i="1" s="1"/>
  <c r="R20" i="1"/>
  <c r="R42" i="1"/>
  <c r="R32" i="1"/>
  <c r="R31" i="1"/>
  <c r="R21" i="1"/>
  <c r="R19" i="1"/>
  <c r="Z41" i="1"/>
  <c r="Z33" i="1"/>
  <c r="Z21" i="1"/>
  <c r="Z20" i="1"/>
  <c r="Z19" i="1"/>
  <c r="Z42" i="1"/>
  <c r="Z32" i="1"/>
  <c r="Z31" i="1"/>
  <c r="Z17" i="1"/>
  <c r="Z18" i="1" s="1"/>
  <c r="X21" i="1"/>
  <c r="T37" i="1"/>
  <c r="T38" i="1" s="1"/>
  <c r="AB37" i="1"/>
  <c r="AB38" i="1" s="1"/>
  <c r="U37" i="1"/>
  <c r="U38" i="1" s="1"/>
  <c r="V26" i="1"/>
  <c r="B6" i="2" s="1"/>
  <c r="R27" i="1"/>
  <c r="C2" i="2" s="1"/>
  <c r="Z27" i="1"/>
  <c r="C10" i="2" s="1"/>
  <c r="V39" i="1"/>
  <c r="V40" i="1" s="1"/>
  <c r="B66" i="1"/>
  <c r="F66" i="1"/>
  <c r="J66" i="1"/>
  <c r="H48" i="1"/>
  <c r="L48" i="1"/>
  <c r="W37" i="1"/>
  <c r="W38" i="1" s="1"/>
  <c r="T21" i="1"/>
  <c r="AB21" i="1"/>
  <c r="X37" i="1"/>
  <c r="X38" i="1" s="1"/>
  <c r="T31" i="1"/>
  <c r="AB31" i="1"/>
  <c r="Q37" i="1"/>
  <c r="Q38" i="1" s="1"/>
  <c r="Y37" i="1"/>
  <c r="Y38" i="1" s="1"/>
  <c r="R26" i="1"/>
  <c r="B2" i="2" s="1"/>
  <c r="Z26" i="1"/>
  <c r="B10" i="2" s="1"/>
  <c r="D66" i="1"/>
  <c r="H66" i="1"/>
  <c r="L66" i="1"/>
  <c r="S37" i="1"/>
  <c r="S38" i="1" s="1"/>
  <c r="AA37" i="1"/>
  <c r="AA38" i="1" s="1"/>
  <c r="R34" i="1" l="1"/>
  <c r="S39" i="1"/>
  <c r="S40" i="1" s="1"/>
  <c r="S27" i="1"/>
  <c r="C3" i="2" s="1"/>
  <c r="S26" i="1"/>
  <c r="B3" i="2" s="1"/>
  <c r="AB32" i="1"/>
  <c r="Y39" i="1"/>
  <c r="Y40" i="1" s="1"/>
  <c r="Y26" i="1"/>
  <c r="B9" i="2" s="1"/>
  <c r="Y27" i="1"/>
  <c r="AB42" i="1"/>
  <c r="S21" i="1"/>
  <c r="S19" i="1"/>
  <c r="S17" i="1"/>
  <c r="S18" i="1" s="1"/>
  <c r="S20" i="1"/>
  <c r="S41" i="1"/>
  <c r="S33" i="1"/>
  <c r="S42" i="1"/>
  <c r="S32" i="1"/>
  <c r="S31" i="1"/>
  <c r="T39" i="1"/>
  <c r="T40" i="1" s="1"/>
  <c r="T26" i="1"/>
  <c r="B4" i="2" s="1"/>
  <c r="T27" i="1"/>
  <c r="C4" i="2" s="1"/>
  <c r="Q39" i="1"/>
  <c r="Q40" i="1" s="1"/>
  <c r="Q26" i="1"/>
  <c r="B1" i="2" s="1"/>
  <c r="Q27" i="1"/>
  <c r="C1" i="2" s="1"/>
  <c r="X27" i="1"/>
  <c r="C8" i="2" s="1"/>
  <c r="X39" i="1"/>
  <c r="X40" i="1" s="1"/>
  <c r="B8" i="2"/>
  <c r="X24" i="1"/>
  <c r="AB20" i="1"/>
  <c r="T32" i="1"/>
  <c r="Y21" i="1"/>
  <c r="Y19" i="1"/>
  <c r="Y17" i="1"/>
  <c r="Y18" i="1" s="1"/>
  <c r="Y41" i="1"/>
  <c r="Y33" i="1"/>
  <c r="Y20" i="1"/>
  <c r="Y42" i="1"/>
  <c r="Y32" i="1"/>
  <c r="Y31" i="1"/>
  <c r="AB17" i="1"/>
  <c r="AB18" i="1" s="1"/>
  <c r="AB33" i="1"/>
  <c r="T42" i="1"/>
  <c r="Z43" i="1"/>
  <c r="Z44" i="1" s="1"/>
  <c r="X20" i="1"/>
  <c r="X32" i="1"/>
  <c r="W39" i="1"/>
  <c r="W40" i="1" s="1"/>
  <c r="W26" i="1"/>
  <c r="B7" i="2" s="1"/>
  <c r="W27" i="1"/>
  <c r="W24" i="1"/>
  <c r="U20" i="1"/>
  <c r="U42" i="1"/>
  <c r="U32" i="1"/>
  <c r="U31" i="1"/>
  <c r="U21" i="1"/>
  <c r="U19" i="1"/>
  <c r="U17" i="1"/>
  <c r="U18" i="1" s="1"/>
  <c r="U41" i="1"/>
  <c r="U33" i="1"/>
  <c r="AB19" i="1"/>
  <c r="AB41" i="1"/>
  <c r="T20" i="1"/>
  <c r="Z34" i="1"/>
  <c r="X33" i="1"/>
  <c r="X42" i="1"/>
  <c r="AA21" i="1"/>
  <c r="AA19" i="1"/>
  <c r="AA17" i="1"/>
  <c r="AA18" i="1" s="1"/>
  <c r="AA20" i="1"/>
  <c r="AA42" i="1"/>
  <c r="AA32" i="1"/>
  <c r="AA31" i="1"/>
  <c r="AA41" i="1"/>
  <c r="AA33" i="1"/>
  <c r="Q21" i="1"/>
  <c r="Q19" i="1"/>
  <c r="Q17" i="1"/>
  <c r="Q18" i="1" s="1"/>
  <c r="Q41" i="1"/>
  <c r="Q33" i="1"/>
  <c r="Q20" i="1"/>
  <c r="Q42" i="1"/>
  <c r="Q32" i="1"/>
  <c r="Q31" i="1"/>
  <c r="T17" i="1"/>
  <c r="T18" i="1" s="1"/>
  <c r="T33" i="1"/>
  <c r="X41" i="1"/>
  <c r="AA27" i="1"/>
  <c r="C11" i="2" s="1"/>
  <c r="AA39" i="1"/>
  <c r="AA40" i="1" s="1"/>
  <c r="AA26" i="1"/>
  <c r="B11" i="2" s="1"/>
  <c r="W20" i="1"/>
  <c r="W21" i="1"/>
  <c r="W19" i="1"/>
  <c r="W17" i="1"/>
  <c r="W18" i="1" s="1"/>
  <c r="W42" i="1"/>
  <c r="W31" i="1"/>
  <c r="W41" i="1"/>
  <c r="W33" i="1"/>
  <c r="W32" i="1"/>
  <c r="U27" i="1"/>
  <c r="C5" i="2" s="1"/>
  <c r="U39" i="1"/>
  <c r="U40" i="1" s="1"/>
  <c r="U26" i="1"/>
  <c r="B5" i="2" s="1"/>
  <c r="AB39" i="1"/>
  <c r="AB40" i="1" s="1"/>
  <c r="B12" i="2"/>
  <c r="AB27" i="1"/>
  <c r="AB24" i="1"/>
  <c r="T19" i="1"/>
  <c r="T41" i="1"/>
  <c r="R43" i="1"/>
  <c r="R45" i="1" s="1"/>
  <c r="X17" i="1"/>
  <c r="X18" i="1" s="1"/>
  <c r="V43" i="1"/>
  <c r="V45" i="1" s="1"/>
  <c r="AB28" i="1" l="1"/>
  <c r="C12" i="2"/>
  <c r="V44" i="1"/>
  <c r="V30" i="1" s="1"/>
  <c r="X34" i="1"/>
  <c r="AB34" i="1"/>
  <c r="AA34" i="1"/>
  <c r="Z45" i="1"/>
  <c r="Z30" i="1" s="1"/>
  <c r="W28" i="1"/>
  <c r="C7" i="2"/>
  <c r="U34" i="1"/>
  <c r="Z28" i="1"/>
  <c r="S34" i="1"/>
  <c r="Y28" i="1"/>
  <c r="C9" i="2"/>
  <c r="R44" i="1"/>
  <c r="R30" i="1" s="1"/>
  <c r="AA28" i="1"/>
  <c r="X43" i="1"/>
  <c r="X45" i="1" s="1"/>
  <c r="T43" i="1"/>
  <c r="T44" i="1" s="1"/>
  <c r="AA44" i="1"/>
  <c r="W43" i="1"/>
  <c r="W45" i="1" s="1"/>
  <c r="Q43" i="1"/>
  <c r="Q45" i="1" s="1"/>
  <c r="Q44" i="1"/>
  <c r="W34" i="1"/>
  <c r="AA43" i="1"/>
  <c r="AA45" i="1" s="1"/>
  <c r="Y34" i="1"/>
  <c r="T34" i="1"/>
  <c r="Q34" i="1"/>
  <c r="X28" i="1"/>
  <c r="T28" i="1"/>
  <c r="R28" i="1"/>
  <c r="Q28" i="1"/>
  <c r="S28" i="1"/>
  <c r="V28" i="1"/>
  <c r="U28" i="1"/>
  <c r="AB43" i="1"/>
  <c r="AB44" i="1" s="1"/>
  <c r="U43" i="1"/>
  <c r="U44" i="1" s="1"/>
  <c r="Y43" i="1"/>
  <c r="Y44" i="1" s="1"/>
  <c r="S43" i="1"/>
  <c r="S44" i="1" s="1"/>
  <c r="AB45" i="1" l="1"/>
  <c r="AB30" i="1" s="1"/>
  <c r="AA30" i="1"/>
  <c r="U45" i="1"/>
  <c r="U30" i="1" s="1"/>
  <c r="Q30" i="1"/>
  <c r="S45" i="1"/>
  <c r="S30" i="1" s="1"/>
  <c r="Y45" i="1"/>
  <c r="Y30" i="1" s="1"/>
  <c r="W44" i="1"/>
  <c r="W30" i="1" s="1"/>
  <c r="T45" i="1"/>
  <c r="T30" i="1" s="1"/>
  <c r="X44" i="1"/>
  <c r="X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<sst xmlns="http://schemas.openxmlformats.org/spreadsheetml/2006/main" count="155" uniqueCount="45">
  <si>
    <t>AVERAGE</t>
  </si>
  <si>
    <t>(24 &amp; 23 only due to rule changes)</t>
  </si>
  <si>
    <t>R</t>
  </si>
  <si>
    <t>HR</t>
  </si>
  <si>
    <t>RBI</t>
  </si>
  <si>
    <t>SB</t>
  </si>
  <si>
    <t>OBP</t>
  </si>
  <si>
    <t>SLG</t>
  </si>
  <si>
    <t>K</t>
  </si>
  <si>
    <t>QS</t>
  </si>
  <si>
    <t>ERA</t>
  </si>
  <si>
    <t>WHIP</t>
  </si>
  <si>
    <t>K/BB</t>
  </si>
  <si>
    <t>SVHD</t>
  </si>
  <si>
    <t>MEAN</t>
  </si>
  <si>
    <t>MEAN/13</t>
  </si>
  <si>
    <t>STD</t>
  </si>
  <si>
    <t>MEDIAN</t>
  </si>
  <si>
    <t>VARIANCE</t>
  </si>
  <si>
    <t>2023 RPB</t>
  </si>
  <si>
    <t>ADJ</t>
  </si>
  <si>
    <t>2023 ADM</t>
  </si>
  <si>
    <t>REGRESS BARR</t>
  </si>
  <si>
    <t>SLOPE ADM</t>
  </si>
  <si>
    <t>RELATIVE SGP</t>
  </si>
  <si>
    <t>ADM3 Outliers Filtered</t>
  </si>
  <si>
    <t>ADM3 ACTUAL</t>
  </si>
  <si>
    <t>MAX</t>
  </si>
  <si>
    <t>MIN</t>
  </si>
  <si>
    <t>RANK</t>
  </si>
  <si>
    <t>SV</t>
  </si>
  <si>
    <t>CV</t>
  </si>
  <si>
    <t>2023 Ranks</t>
  </si>
  <si>
    <t>3rd in Historical Data</t>
  </si>
  <si>
    <t>3RD FITTED LINE TEAM</t>
  </si>
  <si>
    <t>3RD FL PLAYER</t>
  </si>
  <si>
    <t>q1</t>
  </si>
  <si>
    <t>q3</t>
  </si>
  <si>
    <t>iqr</t>
  </si>
  <si>
    <t>LT</t>
  </si>
  <si>
    <t>UT</t>
  </si>
  <si>
    <t>Batting</t>
  </si>
  <si>
    <t>Pitching</t>
  </si>
  <si>
    <t>SO</t>
  </si>
  <si>
    <t>SV_HLD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</si>
</sst>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7"/>
      <color rgb="FF151617"/>
      <name val="Segoe UI"/>
      <family val="2"/>
    </font>
    <font>
      <b/>
      <sz val="7"/>
      <color rgb="FF48494A"/>
      <name val="Segoe UI"/>
      <family val="2"/>
    </font>
    <font>
      <sz val="7"/>
      <color rgb="FF797B7D"/>
      <name val="Segoe UI"/>
      <family val="2"/>
    </font>
    <font>
      <b/>
      <sz val="7"/>
      <color rgb="FF797B7D"/>
      <name val="Segoe UI"/>
      <family val="2"/>
    </font>
    <font>
      <b/>
      <sz val="8"/>
      <color rgb="FF48494A"/>
      <name val="Segoe UI"/>
      <family val="2"/>
    </font>
    <font>
      <u/>
      <sz val="8"/>
      <color rgb="FF151617"/>
      <name val="Segoe UI"/>
      <family val="2"/>
    </font>
    <font>
      <sz val="9"/>
      <color rgb="FF797B7D"/>
      <name val="Segoe UI"/>
      <family val="2"/>
    </font>
    <font>
      <b/>
      <sz val="9"/>
      <color rgb="FF797B7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rgb="FFDCDDDF"/>
      </top>
      <bottom style="medium">
        <color rgb="FFDCDDDF"/>
      </bottom>
      <diagonal/>
    </border>
    <border>
      <left style="medium">
        <color rgb="FFDCDDDF"/>
      </left>
      <right/>
      <top style="medium">
        <color rgb="FFDCDDDF"/>
      </top>
      <bottom style="medium">
        <color rgb="FFDCDDD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F1F2F3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</cellStyleXfs>
  <cellXfs count="30">
    <xf numFmtId="0" fontId="0" fillId="0" borderId="0" xfId="0"/>
    <xf numFmtId="0" fontId="0" fillId="0" borderId="0" xfId="0" applyAlignment="1">
      <alignment wrapText="1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right" vertical="center" indent="1"/>
    </xf>
    <xf numFmtId="0" fontId="5" fillId="0" borderId="0" xfId="0" applyFont="1" applyAlignment="1">
      <alignment horizontal="right" vertical="center" wrapText="1"/>
    </xf>
    <xf numFmtId="0" fontId="3" fillId="4" borderId="1" xfId="3"/>
    <xf numFmtId="0" fontId="3" fillId="4" borderId="5" xfId="3" applyBorder="1" applyAlignment="1">
      <alignment wrapText="1"/>
    </xf>
    <xf numFmtId="0" fontId="3" fillId="4" borderId="6" xfId="3" applyBorder="1"/>
    <xf numFmtId="0" fontId="2" fillId="3" borderId="7" xfId="2" applyBorder="1" applyAlignment="1">
      <alignment wrapText="1"/>
    </xf>
    <xf numFmtId="0" fontId="2" fillId="3" borderId="8" xfId="2" applyBorder="1"/>
    <xf numFmtId="0" fontId="2" fillId="3" borderId="0" xfId="2" applyBorder="1" applyAlignment="1">
      <alignment wrapText="1"/>
    </xf>
    <xf numFmtId="0" fontId="2" fillId="3" borderId="0" xfId="2" applyBorder="1"/>
    <xf numFmtId="0" fontId="1" fillId="2" borderId="0" xfId="1" applyAlignment="1">
      <alignment wrapText="1"/>
    </xf>
    <xf numFmtId="0" fontId="1" fillId="2" borderId="0" xfId="1"/>
    <xf numFmtId="0" fontId="4" fillId="5" borderId="2" xfId="4"/>
    <xf numFmtId="0" fontId="3" fillId="4" borderId="1" xfId="3" applyAlignment="1">
      <alignment wrapText="1"/>
    </xf>
    <xf numFmtId="0" fontId="2" fillId="3" borderId="0" xfId="2" applyAlignment="1">
      <alignment wrapText="1"/>
    </xf>
    <xf numFmtId="0" fontId="2" fillId="3" borderId="0" xfId="2"/>
    <xf numFmtId="0" fontId="4" fillId="5" borderId="0" xfId="4" applyBorder="1" applyAlignment="1">
      <alignment wrapText="1"/>
    </xf>
    <xf numFmtId="0" fontId="4" fillId="5" borderId="2" xfId="4" applyAlignment="1">
      <alignment wrapText="1"/>
    </xf>
    <xf numFmtId="0" fontId="5" fillId="6" borderId="3" xfId="0" applyFont="1" applyFill="1" applyBorder="1" applyAlignment="1">
      <alignment horizontal="right" vertical="center" indent="1"/>
    </xf>
    <xf numFmtId="0" fontId="7" fillId="6" borderId="9" xfId="0" applyFont="1" applyFill="1" applyBorder="1" applyAlignment="1">
      <alignment horizontal="right" vertical="center" indent="1"/>
    </xf>
    <xf numFmtId="0" fontId="8" fillId="6" borderId="9" xfId="0" applyFont="1" applyFill="1" applyBorder="1" applyAlignment="1">
      <alignment horizontal="right" vertical="center" indent="1"/>
    </xf>
    <xf numFmtId="0" fontId="7" fillId="6" borderId="0" xfId="0" applyFont="1" applyFill="1" applyAlignment="1">
      <alignment horizontal="right" vertical="center" indent="1"/>
    </xf>
    <xf numFmtId="0" fontId="10" fillId="6" borderId="3" xfId="0" applyFont="1" applyFill="1" applyBorder="1" applyAlignment="1">
      <alignment horizontal="right" vertical="center" indent="1"/>
    </xf>
    <xf numFmtId="0" fontId="11" fillId="6" borderId="9" xfId="0" applyFont="1" applyFill="1" applyBorder="1" applyAlignment="1">
      <alignment horizontal="right" vertical="center" indent="1"/>
    </xf>
    <xf numFmtId="0" fontId="12" fillId="6" borderId="9" xfId="0" applyFont="1" applyFill="1" applyBorder="1" applyAlignment="1">
      <alignment horizontal="right" vertical="center" indent="1"/>
    </xf>
    <xf numFmtId="0" fontId="11" fillId="6" borderId="0" xfId="0" applyFont="1" applyFill="1" applyAlignment="1">
      <alignment horizontal="right" vertical="center" indent="1"/>
    </xf>
    <xf numFmtId="0" fontId="6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</cellXfs>
  <cellStyles count="5">
    <cellStyle name="Bad" xfId="1" builtinId="27"/>
    <cellStyle name="Calculation" xfId="3" builtinId="22"/>
    <cellStyle name="Check Cell" xfId="4" builtinId="23"/>
    <cellStyle name="Neutral" xfId="2" builtinId="28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2" name="AutoShape 1" descr="https://g.espncdn.com/lm-static/logo-packs/flb/At-the-Ballpark-Robb-Harskamp/Ballpark-01.svg">
          <a:extLst>
            <a:ext uri="{FF2B5EF4-FFF2-40B4-BE49-F238E27FC236}">
              <a16:creationId xmlns:a16="http://schemas.microsoft.com/office/drawing/2014/main" id="{FD37D348-8277-4B36-9205-E01882AD2A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3" name="AutoShape 2" descr="https://g.espncdn.com/lm-static/flb/images/default_logos/15.svg">
          <a:extLst>
            <a:ext uri="{FF2B5EF4-FFF2-40B4-BE49-F238E27FC236}">
              <a16:creationId xmlns:a16="http://schemas.microsoft.com/office/drawing/2014/main" id="{E6077775-0FFE-4210-96F8-6F9510E0590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4" name="AutoShape 3" descr="https://g.espncdn.com/s/flblm/logos/At%20the%20Ballpark-Robb%20Harskamp/Ballpark-01.svg">
          <a:extLst>
            <a:ext uri="{FF2B5EF4-FFF2-40B4-BE49-F238E27FC236}">
              <a16:creationId xmlns:a16="http://schemas.microsoft.com/office/drawing/2014/main" id="{75D262BA-77B6-46A8-B647-E35E1BCB2538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5" name="AutoShape 4" descr="https://g.espncdn.com/s/flblm/logos/At%20the%20Ballpark-Robb%20Harskamp/Ballpark-01.svg">
          <a:extLst>
            <a:ext uri="{FF2B5EF4-FFF2-40B4-BE49-F238E27FC236}">
              <a16:creationId xmlns:a16="http://schemas.microsoft.com/office/drawing/2014/main" id="{68269EF6-12A7-4562-9EF6-B7EA0E15D4A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6" name="AutoShape 5" descr="https://g.espncdn.com/lm-static/flb/images/default_logos/7.svg">
          <a:extLst>
            <a:ext uri="{FF2B5EF4-FFF2-40B4-BE49-F238E27FC236}">
              <a16:creationId xmlns:a16="http://schemas.microsoft.com/office/drawing/2014/main" id="{25E604D7-8CEA-410D-8531-CFBDB520C62E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</xdr:row>
      <xdr:rowOff>0</xdr:rowOff>
    </xdr:from>
    <xdr:ext cx="304800" cy="323850"/>
    <xdr:sp macro="" textlink="">
      <xdr:nvSpPr>
        <xdr:cNvPr id="7" name="AutoShape 6" descr="https://g.espncdn.com/lm-static/flb/images/default_logos/13.svg">
          <a:extLst>
            <a:ext uri="{FF2B5EF4-FFF2-40B4-BE49-F238E27FC236}">
              <a16:creationId xmlns:a16="http://schemas.microsoft.com/office/drawing/2014/main" id="{B06C28AA-C2CC-44A5-BBA1-579B20C5660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0790-540E-4A47-8DFE-0C5A82FABDCD}">
  <dimension ref="A1:AB106"/>
  <sheetViews>
    <sheetView tabSelected="1" topLeftCell="K11" workbookViewId="0">
      <selection activeCell="R22" sqref="R22"/>
    </sheetView>
  </sheetViews>
  <sheetFormatPr defaultRowHeight="15" x14ac:dyDescent="0.25"/>
  <cols>
    <col min="16" max="16" width="9.140625" style="1"/>
  </cols>
  <sheetData>
    <row r="1" spans="1:28" x14ac:dyDescent="0.25">
      <c r="A1">
        <v>2023</v>
      </c>
      <c r="E1">
        <f>-1*SLOPE($E$4:$E$13,A4:A13)</f>
        <v>9.2242424242424246</v>
      </c>
      <c r="F1">
        <f>(-12*E1+INTERCEPT(E4:E13,A4:A13))/13</f>
        <v>8.9282051282051302</v>
      </c>
      <c r="P1" s="1" t="s">
        <v>0</v>
      </c>
      <c r="T1" t="s">
        <v>1</v>
      </c>
    </row>
    <row r="2" spans="1:28" x14ac:dyDescent="0.2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</row>
    <row r="3" spans="1:28" x14ac:dyDescent="0.25">
      <c r="A3">
        <v>1</v>
      </c>
      <c r="B3">
        <v>1126</v>
      </c>
      <c r="C3">
        <v>330</v>
      </c>
      <c r="D3">
        <v>1098</v>
      </c>
      <c r="E3">
        <v>213</v>
      </c>
      <c r="F3">
        <v>0.34100000000000003</v>
      </c>
      <c r="G3">
        <v>0.46579999999999999</v>
      </c>
      <c r="H3">
        <v>1809</v>
      </c>
      <c r="I3">
        <v>131</v>
      </c>
      <c r="J3">
        <v>3.5369999999999999</v>
      </c>
      <c r="K3">
        <v>1.1419999999999999</v>
      </c>
      <c r="L3">
        <v>3.6339999999999999</v>
      </c>
      <c r="M3">
        <v>192</v>
      </c>
      <c r="P3" s="1">
        <v>1</v>
      </c>
      <c r="Q3">
        <f>(4*B95+3*B66+2*B3+B19+B35)/11</f>
        <v>1074.909090909091</v>
      </c>
      <c r="R3">
        <f>(4*C95+3*C66+2*C3+C19+C35)/11</f>
        <v>335.09090909090907</v>
      </c>
      <c r="S3">
        <f t="shared" ref="S3:AB14" si="0">(4*D95+3*D66+2*D3+D19+D35)/11</f>
        <v>1081.5454545454545</v>
      </c>
      <c r="T3">
        <f t="shared" si="0"/>
        <v>216.18181818181819</v>
      </c>
      <c r="U3">
        <f t="shared" si="0"/>
        <v>0.34179999999999999</v>
      </c>
      <c r="V3">
        <f t="shared" si="0"/>
        <v>0.46048181818181805</v>
      </c>
      <c r="W3">
        <f t="shared" si="0"/>
        <v>1800.4545454545455</v>
      </c>
      <c r="X3">
        <f t="shared" si="0"/>
        <v>132.36363636363637</v>
      </c>
      <c r="Y3">
        <f t="shared" si="0"/>
        <v>3.3539090909090912</v>
      </c>
      <c r="Z3">
        <f t="shared" si="0"/>
        <v>1.1234545454545455</v>
      </c>
      <c r="AA3">
        <f t="shared" si="0"/>
        <v>3.8891818181818181</v>
      </c>
      <c r="AB3">
        <f t="shared" si="0"/>
        <v>138.45454545454547</v>
      </c>
    </row>
    <row r="4" spans="1:28" x14ac:dyDescent="0.25">
      <c r="A4">
        <v>2</v>
      </c>
      <c r="B4">
        <v>1124</v>
      </c>
      <c r="C4">
        <v>326</v>
      </c>
      <c r="D4">
        <v>1077</v>
      </c>
      <c r="E4">
        <v>200</v>
      </c>
      <c r="F4">
        <v>0.34029999999999999</v>
      </c>
      <c r="G4">
        <v>0.46110000000000001</v>
      </c>
      <c r="H4">
        <v>1759</v>
      </c>
      <c r="I4">
        <v>115</v>
      </c>
      <c r="J4">
        <v>3.6890000000000001</v>
      </c>
      <c r="K4">
        <v>1.1859999999999999</v>
      </c>
      <c r="L4">
        <v>3.5129999999999999</v>
      </c>
      <c r="M4">
        <v>133</v>
      </c>
      <c r="P4" s="1">
        <v>2</v>
      </c>
      <c r="Q4">
        <f t="shared" ref="Q4:Q14" si="1">(4*B96+3*B67+2*B4+B20+B36)/11</f>
        <v>1066</v>
      </c>
      <c r="R4">
        <f t="shared" ref="R4:R14" si="2">(4*C96+3*C67+2*C4+C20+C36)/11</f>
        <v>321.81818181818181</v>
      </c>
      <c r="S4">
        <f t="shared" si="0"/>
        <v>1028.5454545454545</v>
      </c>
      <c r="T4">
        <f t="shared" si="0"/>
        <v>205.45454545454547</v>
      </c>
      <c r="U4">
        <f t="shared" si="0"/>
        <v>0.33784545454545456</v>
      </c>
      <c r="V4">
        <f t="shared" si="0"/>
        <v>0.45003636363636362</v>
      </c>
      <c r="W4">
        <f t="shared" si="0"/>
        <v>1728.7272727272727</v>
      </c>
      <c r="X4">
        <f t="shared" si="0"/>
        <v>119.81818181818181</v>
      </c>
      <c r="Y4">
        <f t="shared" si="0"/>
        <v>3.525727272727273</v>
      </c>
      <c r="Z4">
        <f t="shared" si="0"/>
        <v>1.1577272727272727</v>
      </c>
      <c r="AA4">
        <f t="shared" si="0"/>
        <v>3.6532727272727272</v>
      </c>
      <c r="AB4">
        <f t="shared" si="0"/>
        <v>122.27272727272727</v>
      </c>
    </row>
    <row r="5" spans="1:28" x14ac:dyDescent="0.25">
      <c r="A5">
        <v>3</v>
      </c>
      <c r="B5">
        <v>1076</v>
      </c>
      <c r="C5">
        <v>323</v>
      </c>
      <c r="D5">
        <v>1063</v>
      </c>
      <c r="E5">
        <v>192</v>
      </c>
      <c r="F5">
        <v>0.33639999999999998</v>
      </c>
      <c r="G5">
        <v>0.44590000000000002</v>
      </c>
      <c r="H5">
        <v>1650</v>
      </c>
      <c r="I5">
        <v>112</v>
      </c>
      <c r="J5">
        <v>3.7519999999999998</v>
      </c>
      <c r="K5">
        <v>1.2050000000000001</v>
      </c>
      <c r="L5">
        <v>3.355</v>
      </c>
      <c r="M5">
        <v>112</v>
      </c>
      <c r="P5" s="1">
        <v>3</v>
      </c>
      <c r="Q5">
        <f t="shared" si="1"/>
        <v>1049.3636363636363</v>
      </c>
      <c r="R5">
        <f t="shared" si="2"/>
        <v>300</v>
      </c>
      <c r="S5">
        <f t="shared" si="0"/>
        <v>1013.0909090909091</v>
      </c>
      <c r="T5">
        <f t="shared" si="0"/>
        <v>194.81818181818181</v>
      </c>
      <c r="U5">
        <f t="shared" si="0"/>
        <v>0.33337272727272732</v>
      </c>
      <c r="V5">
        <f t="shared" si="0"/>
        <v>0.44380909090909082</v>
      </c>
      <c r="W5">
        <f t="shared" si="0"/>
        <v>1646.5454545454545</v>
      </c>
      <c r="X5">
        <f t="shared" si="0"/>
        <v>111.18181818181819</v>
      </c>
      <c r="Y5">
        <f t="shared" si="0"/>
        <v>3.5865454545454543</v>
      </c>
      <c r="Z5">
        <f t="shared" si="0"/>
        <v>1.163909090909091</v>
      </c>
      <c r="AA5">
        <f t="shared" si="0"/>
        <v>3.4907272727272725</v>
      </c>
      <c r="AB5">
        <f t="shared" si="0"/>
        <v>116.18181818181819</v>
      </c>
    </row>
    <row r="6" spans="1:28" x14ac:dyDescent="0.25">
      <c r="A6">
        <v>4</v>
      </c>
      <c r="B6">
        <v>1069</v>
      </c>
      <c r="C6">
        <v>308</v>
      </c>
      <c r="D6">
        <v>1049</v>
      </c>
      <c r="E6">
        <v>192</v>
      </c>
      <c r="F6">
        <v>0.3357</v>
      </c>
      <c r="G6">
        <v>0.44409999999999999</v>
      </c>
      <c r="H6">
        <v>1583</v>
      </c>
      <c r="I6">
        <v>111</v>
      </c>
      <c r="J6">
        <v>3.798</v>
      </c>
      <c r="K6">
        <v>1.232</v>
      </c>
      <c r="L6">
        <v>3.294</v>
      </c>
      <c r="M6">
        <v>108</v>
      </c>
      <c r="P6" s="1">
        <v>4</v>
      </c>
      <c r="Q6">
        <f t="shared" si="1"/>
        <v>1037.6363636363637</v>
      </c>
      <c r="R6">
        <f t="shared" si="2"/>
        <v>295.72727272727275</v>
      </c>
      <c r="S6">
        <f t="shared" si="0"/>
        <v>998.18181818181813</v>
      </c>
      <c r="T6">
        <f t="shared" si="0"/>
        <v>179.72727272727272</v>
      </c>
      <c r="U6">
        <f t="shared" si="0"/>
        <v>0.33160909090909091</v>
      </c>
      <c r="V6">
        <f t="shared" si="0"/>
        <v>0.44090909090909086</v>
      </c>
      <c r="W6">
        <f t="shared" si="0"/>
        <v>1585.909090909091</v>
      </c>
      <c r="X6">
        <f t="shared" si="0"/>
        <v>108.18181818181819</v>
      </c>
      <c r="Y6">
        <f t="shared" si="0"/>
        <v>3.665909090909091</v>
      </c>
      <c r="Z6">
        <f t="shared" si="0"/>
        <v>1.1844545454545454</v>
      </c>
      <c r="AA6">
        <f t="shared" si="0"/>
        <v>3.4326363636363637</v>
      </c>
      <c r="AB6">
        <f t="shared" si="0"/>
        <v>110.63636363636364</v>
      </c>
    </row>
    <row r="7" spans="1:28" x14ac:dyDescent="0.25">
      <c r="A7">
        <v>5</v>
      </c>
      <c r="B7">
        <v>1063</v>
      </c>
      <c r="C7">
        <v>304</v>
      </c>
      <c r="D7">
        <v>1048</v>
      </c>
      <c r="E7">
        <v>187</v>
      </c>
      <c r="F7">
        <v>0.33539999999999998</v>
      </c>
      <c r="G7">
        <v>0.44209999999999999</v>
      </c>
      <c r="H7">
        <v>1524</v>
      </c>
      <c r="I7">
        <v>104</v>
      </c>
      <c r="J7">
        <v>3.8780000000000001</v>
      </c>
      <c r="K7">
        <v>1.2330000000000001</v>
      </c>
      <c r="L7">
        <v>3.2440000000000002</v>
      </c>
      <c r="M7">
        <v>95</v>
      </c>
      <c r="P7" s="1">
        <v>5</v>
      </c>
      <c r="Q7">
        <f t="shared" si="1"/>
        <v>1022.3636363636364</v>
      </c>
      <c r="R7">
        <f t="shared" si="2"/>
        <v>291.36363636363637</v>
      </c>
      <c r="S7">
        <f t="shared" si="0"/>
        <v>988</v>
      </c>
      <c r="T7">
        <f t="shared" si="0"/>
        <v>169.72727272727272</v>
      </c>
      <c r="U7">
        <f t="shared" si="0"/>
        <v>0.33005454545454543</v>
      </c>
      <c r="V7">
        <f t="shared" si="0"/>
        <v>0.4368636363636364</v>
      </c>
      <c r="W7">
        <f t="shared" si="0"/>
        <v>1509.1818181818182</v>
      </c>
      <c r="X7">
        <f t="shared" si="0"/>
        <v>102.36363636363636</v>
      </c>
      <c r="Y7">
        <f t="shared" si="0"/>
        <v>3.6986363636363637</v>
      </c>
      <c r="Z7">
        <f t="shared" si="0"/>
        <v>1.1894545454545455</v>
      </c>
      <c r="AA7">
        <f t="shared" si="0"/>
        <v>3.2961818181818177</v>
      </c>
      <c r="AB7">
        <f t="shared" si="0"/>
        <v>105.54545454545455</v>
      </c>
    </row>
    <row r="8" spans="1:28" x14ac:dyDescent="0.25">
      <c r="A8">
        <v>6</v>
      </c>
      <c r="B8">
        <v>1059</v>
      </c>
      <c r="C8">
        <v>301</v>
      </c>
      <c r="D8">
        <v>1024</v>
      </c>
      <c r="E8">
        <v>185</v>
      </c>
      <c r="F8">
        <v>0.33189999999999997</v>
      </c>
      <c r="G8">
        <v>0.4415</v>
      </c>
      <c r="H8">
        <v>1446</v>
      </c>
      <c r="I8">
        <v>102</v>
      </c>
      <c r="J8">
        <v>3.95</v>
      </c>
      <c r="K8">
        <v>1.2390000000000001</v>
      </c>
      <c r="L8">
        <v>3.2090000000000001</v>
      </c>
      <c r="M8">
        <v>93</v>
      </c>
      <c r="P8" s="1">
        <v>6</v>
      </c>
      <c r="Q8">
        <f t="shared" si="1"/>
        <v>1005.6363636363636</v>
      </c>
      <c r="R8">
        <f t="shared" si="2"/>
        <v>283.63636363636363</v>
      </c>
      <c r="S8">
        <f t="shared" si="0"/>
        <v>964.5454545454545</v>
      </c>
      <c r="T8">
        <f t="shared" si="0"/>
        <v>158.81818181818181</v>
      </c>
      <c r="U8">
        <f t="shared" si="0"/>
        <v>0.32835454545454551</v>
      </c>
      <c r="V8">
        <f t="shared" si="0"/>
        <v>0.43258181818181818</v>
      </c>
      <c r="W8">
        <f t="shared" si="0"/>
        <v>1469.3636363636363</v>
      </c>
      <c r="X8">
        <f t="shared" si="0"/>
        <v>100.63636363636364</v>
      </c>
      <c r="Y8">
        <f t="shared" si="0"/>
        <v>3.7463636363636366</v>
      </c>
      <c r="Z8">
        <f t="shared" si="0"/>
        <v>1.1998181818181819</v>
      </c>
      <c r="AA8">
        <f t="shared" si="0"/>
        <v>3.2404545454545453</v>
      </c>
      <c r="AB8">
        <f t="shared" si="0"/>
        <v>101.54545454545455</v>
      </c>
    </row>
    <row r="9" spans="1:28" x14ac:dyDescent="0.25">
      <c r="A9">
        <v>7</v>
      </c>
      <c r="B9">
        <v>1032</v>
      </c>
      <c r="C9">
        <v>300</v>
      </c>
      <c r="D9">
        <v>1013</v>
      </c>
      <c r="E9">
        <v>164</v>
      </c>
      <c r="F9">
        <v>0.33069999999999999</v>
      </c>
      <c r="G9">
        <v>0.43909999999999999</v>
      </c>
      <c r="H9">
        <v>1405</v>
      </c>
      <c r="I9">
        <v>95</v>
      </c>
      <c r="J9">
        <v>4</v>
      </c>
      <c r="K9">
        <v>1.2529999999999999</v>
      </c>
      <c r="L9">
        <v>3.1680000000000001</v>
      </c>
      <c r="M9">
        <v>92</v>
      </c>
      <c r="P9" s="1">
        <v>7</v>
      </c>
      <c r="Q9">
        <f t="shared" si="1"/>
        <v>997</v>
      </c>
      <c r="R9">
        <f t="shared" si="2"/>
        <v>274.54545454545456</v>
      </c>
      <c r="S9">
        <f t="shared" si="0"/>
        <v>955.63636363636363</v>
      </c>
      <c r="T9">
        <f t="shared" si="0"/>
        <v>148.90909090909091</v>
      </c>
      <c r="U9">
        <f t="shared" si="0"/>
        <v>0.32626363636363637</v>
      </c>
      <c r="V9">
        <f t="shared" si="0"/>
        <v>0.43073636363636364</v>
      </c>
      <c r="W9">
        <f t="shared" si="0"/>
        <v>1436.909090909091</v>
      </c>
      <c r="X9">
        <f t="shared" si="0"/>
        <v>96.36363636363636</v>
      </c>
      <c r="Y9">
        <f t="shared" si="0"/>
        <v>3.8152727272727276</v>
      </c>
      <c r="Z9">
        <f t="shared" si="0"/>
        <v>1.2096363636363636</v>
      </c>
      <c r="AA9">
        <f t="shared" si="0"/>
        <v>3.1755454545454551</v>
      </c>
      <c r="AB9">
        <f t="shared" si="0"/>
        <v>98</v>
      </c>
    </row>
    <row r="10" spans="1:28" x14ac:dyDescent="0.25">
      <c r="A10">
        <v>8</v>
      </c>
      <c r="B10">
        <v>1032</v>
      </c>
      <c r="C10">
        <v>294</v>
      </c>
      <c r="D10">
        <v>1004</v>
      </c>
      <c r="E10">
        <v>156</v>
      </c>
      <c r="F10">
        <v>0.3306</v>
      </c>
      <c r="G10">
        <v>0.43890000000000001</v>
      </c>
      <c r="H10">
        <v>1404</v>
      </c>
      <c r="I10">
        <v>94</v>
      </c>
      <c r="J10">
        <v>4.165</v>
      </c>
      <c r="K10">
        <v>1.264</v>
      </c>
      <c r="L10">
        <v>3.0289999999999999</v>
      </c>
      <c r="M10">
        <v>92</v>
      </c>
      <c r="P10" s="1">
        <v>8</v>
      </c>
      <c r="Q10">
        <f t="shared" si="1"/>
        <v>976.63636363636363</v>
      </c>
      <c r="R10">
        <f t="shared" si="2"/>
        <v>265.90909090909093</v>
      </c>
      <c r="S10">
        <f t="shared" si="0"/>
        <v>939.36363636363637</v>
      </c>
      <c r="T10">
        <f t="shared" si="0"/>
        <v>140.54545454545453</v>
      </c>
      <c r="U10">
        <f t="shared" si="0"/>
        <v>0.32465454545454542</v>
      </c>
      <c r="V10">
        <f t="shared" si="0"/>
        <v>0.42949999999999999</v>
      </c>
      <c r="W10">
        <f t="shared" si="0"/>
        <v>1386.1818181818182</v>
      </c>
      <c r="X10">
        <f t="shared" si="0"/>
        <v>91</v>
      </c>
      <c r="Y10">
        <f t="shared" si="0"/>
        <v>3.923090909090909</v>
      </c>
      <c r="Z10">
        <f t="shared" si="0"/>
        <v>1.2217272727272728</v>
      </c>
      <c r="AA10">
        <f t="shared" si="0"/>
        <v>3.0986363636363632</v>
      </c>
      <c r="AB10">
        <f t="shared" si="0"/>
        <v>85.272727272727266</v>
      </c>
    </row>
    <row r="11" spans="1:28" x14ac:dyDescent="0.25">
      <c r="A11">
        <v>9</v>
      </c>
      <c r="B11">
        <v>1028</v>
      </c>
      <c r="C11">
        <v>276</v>
      </c>
      <c r="D11">
        <v>994</v>
      </c>
      <c r="E11">
        <v>145</v>
      </c>
      <c r="F11">
        <v>0.32850000000000001</v>
      </c>
      <c r="G11">
        <v>0.43540000000000001</v>
      </c>
      <c r="H11">
        <v>1345</v>
      </c>
      <c r="I11">
        <v>90</v>
      </c>
      <c r="J11">
        <v>4.2389999999999999</v>
      </c>
      <c r="K11">
        <v>1.272</v>
      </c>
      <c r="L11">
        <v>2.968</v>
      </c>
      <c r="M11">
        <v>84</v>
      </c>
      <c r="P11" s="1">
        <v>9</v>
      </c>
      <c r="Q11">
        <f t="shared" si="1"/>
        <v>953.90909090909088</v>
      </c>
      <c r="R11">
        <f t="shared" si="2"/>
        <v>260.63636363636363</v>
      </c>
      <c r="S11">
        <f t="shared" si="0"/>
        <v>918.63636363636363</v>
      </c>
      <c r="T11">
        <f t="shared" si="0"/>
        <v>131</v>
      </c>
      <c r="U11">
        <f t="shared" si="0"/>
        <v>0.32242727272727273</v>
      </c>
      <c r="V11">
        <f t="shared" si="0"/>
        <v>0.42624545454545454</v>
      </c>
      <c r="W11">
        <f t="shared" si="0"/>
        <v>1263.909090909091</v>
      </c>
      <c r="X11">
        <f t="shared" si="0"/>
        <v>88.272727272727266</v>
      </c>
      <c r="Y11">
        <f t="shared" si="0"/>
        <v>3.9922727272727272</v>
      </c>
      <c r="Z11">
        <f t="shared" si="0"/>
        <v>1.2450000000000001</v>
      </c>
      <c r="AA11">
        <f t="shared" si="0"/>
        <v>3.019545454545455</v>
      </c>
      <c r="AB11">
        <f t="shared" si="0"/>
        <v>77.63636363636364</v>
      </c>
    </row>
    <row r="12" spans="1:28" x14ac:dyDescent="0.25">
      <c r="A12">
        <v>10</v>
      </c>
      <c r="B12">
        <v>1022</v>
      </c>
      <c r="C12">
        <v>276</v>
      </c>
      <c r="D12">
        <v>984</v>
      </c>
      <c r="E12">
        <v>126</v>
      </c>
      <c r="F12">
        <v>0.32690000000000002</v>
      </c>
      <c r="G12">
        <v>0.43219999999999997</v>
      </c>
      <c r="H12">
        <v>1344</v>
      </c>
      <c r="I12">
        <v>84</v>
      </c>
      <c r="J12">
        <v>4.2750000000000004</v>
      </c>
      <c r="K12">
        <v>1.284</v>
      </c>
      <c r="L12">
        <v>2.903</v>
      </c>
      <c r="M12">
        <v>82</v>
      </c>
      <c r="P12" s="1">
        <v>10</v>
      </c>
      <c r="Q12">
        <f t="shared" si="1"/>
        <v>943.18181818181813</v>
      </c>
      <c r="R12">
        <f t="shared" si="2"/>
        <v>257.18181818181819</v>
      </c>
      <c r="S12">
        <f t="shared" si="0"/>
        <v>906.4545454545455</v>
      </c>
      <c r="T12">
        <f t="shared" si="0"/>
        <v>114.54545454545455</v>
      </c>
      <c r="U12">
        <f t="shared" si="0"/>
        <v>0.32144545454545453</v>
      </c>
      <c r="V12">
        <f t="shared" si="0"/>
        <v>0.42245454545454542</v>
      </c>
      <c r="W12">
        <f t="shared" si="0"/>
        <v>1227.4545454545455</v>
      </c>
      <c r="X12">
        <f t="shared" si="0"/>
        <v>81.63636363636364</v>
      </c>
      <c r="Y12">
        <f t="shared" si="0"/>
        <v>4.1237272727272725</v>
      </c>
      <c r="Z12">
        <f t="shared" si="0"/>
        <v>1.2538181818181817</v>
      </c>
      <c r="AA12">
        <f t="shared" si="0"/>
        <v>2.9342727272727274</v>
      </c>
      <c r="AB12">
        <f t="shared" si="0"/>
        <v>73.454545454545453</v>
      </c>
    </row>
    <row r="13" spans="1:28" x14ac:dyDescent="0.25">
      <c r="A13">
        <v>11</v>
      </c>
      <c r="B13">
        <v>993</v>
      </c>
      <c r="C13">
        <v>275</v>
      </c>
      <c r="D13">
        <v>921</v>
      </c>
      <c r="E13">
        <v>121</v>
      </c>
      <c r="F13">
        <v>0.32400000000000001</v>
      </c>
      <c r="G13">
        <v>0.42899999999999999</v>
      </c>
      <c r="H13">
        <v>1267</v>
      </c>
      <c r="I13">
        <v>72</v>
      </c>
      <c r="J13">
        <v>4.3529999999999998</v>
      </c>
      <c r="K13">
        <v>1.288</v>
      </c>
      <c r="L13">
        <v>2.7709999999999999</v>
      </c>
      <c r="M13">
        <v>58</v>
      </c>
      <c r="P13" s="1">
        <v>11</v>
      </c>
      <c r="Q13">
        <f t="shared" si="1"/>
        <v>913.81818181818187</v>
      </c>
      <c r="R13">
        <f t="shared" si="2"/>
        <v>253.27272727272728</v>
      </c>
      <c r="S13">
        <f t="shared" si="0"/>
        <v>870.27272727272725</v>
      </c>
      <c r="T13">
        <f t="shared" si="0"/>
        <v>101.72727272727273</v>
      </c>
      <c r="U13">
        <f t="shared" si="0"/>
        <v>0.3194818181818182</v>
      </c>
      <c r="V13">
        <f t="shared" si="0"/>
        <v>0.41653636363636365</v>
      </c>
      <c r="W13">
        <f t="shared" si="0"/>
        <v>1179.6363636363637</v>
      </c>
      <c r="X13">
        <f t="shared" si="0"/>
        <v>67.272727272727266</v>
      </c>
      <c r="Y13">
        <f t="shared" si="0"/>
        <v>4.173</v>
      </c>
      <c r="Z13">
        <f t="shared" si="0"/>
        <v>1.2575454545454545</v>
      </c>
      <c r="AA13">
        <f t="shared" si="0"/>
        <v>2.8143636363636362</v>
      </c>
      <c r="AB13">
        <f t="shared" si="0"/>
        <v>64.090909090909093</v>
      </c>
    </row>
    <row r="14" spans="1:28" x14ac:dyDescent="0.25">
      <c r="A14">
        <v>12</v>
      </c>
      <c r="B14">
        <v>936</v>
      </c>
      <c r="C14">
        <v>250</v>
      </c>
      <c r="D14">
        <v>885</v>
      </c>
      <c r="E14">
        <v>98</v>
      </c>
      <c r="F14">
        <v>0.32269999999999999</v>
      </c>
      <c r="G14">
        <v>0.42359999999999998</v>
      </c>
      <c r="H14">
        <v>1104</v>
      </c>
      <c r="I14">
        <v>53</v>
      </c>
      <c r="J14">
        <v>4.5179999999999998</v>
      </c>
      <c r="K14">
        <v>1.3069999999999999</v>
      </c>
      <c r="L14">
        <v>2.6859999999999999</v>
      </c>
      <c r="M14">
        <v>39</v>
      </c>
      <c r="P14" s="1">
        <v>12</v>
      </c>
      <c r="Q14">
        <f t="shared" si="1"/>
        <v>884.81818181818187</v>
      </c>
      <c r="R14">
        <f t="shared" si="2"/>
        <v>212.18181818181819</v>
      </c>
      <c r="S14">
        <f t="shared" si="0"/>
        <v>818.36363636363637</v>
      </c>
      <c r="T14">
        <f t="shared" si="0"/>
        <v>75.727272727272734</v>
      </c>
      <c r="U14">
        <f t="shared" si="0"/>
        <v>0.3146272727272727</v>
      </c>
      <c r="V14">
        <f t="shared" si="0"/>
        <v>0.41210000000000002</v>
      </c>
      <c r="W14">
        <f t="shared" si="0"/>
        <v>978.63636363636363</v>
      </c>
      <c r="X14">
        <f t="shared" si="0"/>
        <v>49.636363636363633</v>
      </c>
      <c r="Y14">
        <f t="shared" si="0"/>
        <v>4.3376363636363635</v>
      </c>
      <c r="Z14">
        <f t="shared" si="0"/>
        <v>1.2714545454545456</v>
      </c>
      <c r="AA14">
        <f t="shared" si="0"/>
        <v>2.636181818181818</v>
      </c>
      <c r="AB14">
        <f t="shared" si="0"/>
        <v>52</v>
      </c>
    </row>
    <row r="15" spans="1:28" x14ac:dyDescent="0.25">
      <c r="B15">
        <f t="shared" ref="B15:M15" si="3">-1*SLOPE(B4:B13,$A$4:$A$13)</f>
        <v>11.406060606060606</v>
      </c>
      <c r="C15">
        <f t="shared" si="3"/>
        <v>5.9333333333333336</v>
      </c>
      <c r="D15">
        <f t="shared" si="3"/>
        <v>14.393939393939394</v>
      </c>
      <c r="E15">
        <f t="shared" si="3"/>
        <v>9.2242424242424246</v>
      </c>
      <c r="F15">
        <f t="shared" si="3"/>
        <v>1.6048484848484807E-3</v>
      </c>
      <c r="G15">
        <f t="shared" si="3"/>
        <v>2.6684848484848506E-3</v>
      </c>
      <c r="H15">
        <f t="shared" si="3"/>
        <v>49.460606060606061</v>
      </c>
      <c r="I15">
        <f t="shared" si="3"/>
        <v>4.3939393939393936</v>
      </c>
      <c r="J15">
        <f t="shared" si="3"/>
        <v>-7.7290909090909091E-2</v>
      </c>
      <c r="K15">
        <f t="shared" si="3"/>
        <v>-1.0775757575757577E-2</v>
      </c>
      <c r="L15">
        <f t="shared" si="3"/>
        <v>7.3684848484848478E-2</v>
      </c>
      <c r="M15">
        <f t="shared" si="3"/>
        <v>6.1515151515151514</v>
      </c>
    </row>
    <row r="16" spans="1:28" x14ac:dyDescent="0.25">
      <c r="B16">
        <f t="shared" ref="B16:G16" si="4">B15/$D$15</f>
        <v>0.79242105263157891</v>
      </c>
      <c r="C16">
        <f t="shared" si="4"/>
        <v>0.41221052631578947</v>
      </c>
      <c r="D16">
        <f t="shared" si="4"/>
        <v>1</v>
      </c>
      <c r="E16">
        <f t="shared" si="4"/>
        <v>0.64084210526315788</v>
      </c>
      <c r="F16">
        <f t="shared" si="4"/>
        <v>1.1149473684210496E-4</v>
      </c>
      <c r="G16">
        <f t="shared" si="4"/>
        <v>1.8538947368421067E-4</v>
      </c>
      <c r="H16">
        <f t="shared" ref="H16:M16" si="5">H15/$H$15</f>
        <v>1</v>
      </c>
      <c r="I16">
        <f t="shared" si="5"/>
        <v>8.8837152309765952E-2</v>
      </c>
      <c r="J16">
        <f t="shared" si="5"/>
        <v>-1.5626761426295796E-3</v>
      </c>
      <c r="K16">
        <f t="shared" si="5"/>
        <v>-2.1786545766450192E-4</v>
      </c>
      <c r="L16">
        <f t="shared" si="5"/>
        <v>1.4897684107339786E-3</v>
      </c>
      <c r="M16">
        <f t="shared" si="5"/>
        <v>0.12437201323367233</v>
      </c>
    </row>
    <row r="17" spans="1:28" ht="15.75" thickBot="1" x14ac:dyDescent="0.3">
      <c r="A17">
        <v>2022</v>
      </c>
      <c r="P17" s="1" t="s">
        <v>14</v>
      </c>
      <c r="Q17">
        <f t="shared" ref="Q17:AB17" si="6">AVERAGE(Q3:Q14)</f>
        <v>993.77272727272714</v>
      </c>
      <c r="R17">
        <f t="shared" si="6"/>
        <v>279.280303030303</v>
      </c>
      <c r="S17">
        <f t="shared" si="6"/>
        <v>956.88636363636363</v>
      </c>
      <c r="T17">
        <f t="shared" si="6"/>
        <v>153.09848484848484</v>
      </c>
      <c r="U17">
        <f t="shared" si="6"/>
        <v>0.32766136363636361</v>
      </c>
      <c r="V17">
        <f t="shared" si="6"/>
        <v>0.43352121212121203</v>
      </c>
      <c r="W17">
        <f t="shared" si="6"/>
        <v>1434.4090909090908</v>
      </c>
      <c r="X17">
        <f t="shared" si="6"/>
        <v>95.727272727272734</v>
      </c>
      <c r="Y17">
        <f t="shared" si="6"/>
        <v>3.8285075757575764</v>
      </c>
      <c r="Z17">
        <f t="shared" si="6"/>
        <v>1.2065000000000001</v>
      </c>
      <c r="AA17">
        <f t="shared" si="6"/>
        <v>3.2234166666666666</v>
      </c>
      <c r="AB17">
        <f t="shared" si="6"/>
        <v>95.424242424242422</v>
      </c>
    </row>
    <row r="18" spans="1:28" ht="15.75" thickBot="1" x14ac:dyDescent="0.3"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3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P18" s="4" t="s">
        <v>15</v>
      </c>
      <c r="Q18">
        <f>Q17/13</f>
        <v>76.444055944055933</v>
      </c>
      <c r="R18">
        <f>R17/13</f>
        <v>21.483100233100231</v>
      </c>
      <c r="S18">
        <f>S17/13</f>
        <v>73.60664335664336</v>
      </c>
      <c r="T18">
        <f>T17/13</f>
        <v>11.776806526806526</v>
      </c>
      <c r="U18">
        <f>U17</f>
        <v>0.32766136363636361</v>
      </c>
      <c r="V18">
        <f>V17</f>
        <v>0.43352121212121203</v>
      </c>
      <c r="W18">
        <f>W17/9</f>
        <v>159.37878787878788</v>
      </c>
      <c r="X18">
        <f>X17/9</f>
        <v>10.636363636363637</v>
      </c>
      <c r="Y18">
        <f>Y17</f>
        <v>3.8285075757575764</v>
      </c>
      <c r="Z18">
        <f>Z17</f>
        <v>1.2065000000000001</v>
      </c>
      <c r="AA18">
        <f>AA17</f>
        <v>3.2234166666666666</v>
      </c>
      <c r="AB18">
        <f>AB17/9</f>
        <v>10.602693602693602</v>
      </c>
    </row>
    <row r="19" spans="1:28" x14ac:dyDescent="0.25">
      <c r="A19">
        <v>1</v>
      </c>
      <c r="B19">
        <v>1022</v>
      </c>
      <c r="C19">
        <v>300</v>
      </c>
      <c r="D19">
        <v>1038</v>
      </c>
      <c r="E19">
        <v>137</v>
      </c>
      <c r="F19">
        <v>0.34179999999999999</v>
      </c>
      <c r="G19">
        <v>0.44869999999999999</v>
      </c>
      <c r="H19">
        <v>1828</v>
      </c>
      <c r="I19">
        <v>131</v>
      </c>
      <c r="J19">
        <v>3.0049999999999999</v>
      </c>
      <c r="K19">
        <v>1.0740000000000001</v>
      </c>
      <c r="L19">
        <v>3.8</v>
      </c>
      <c r="M19">
        <v>143</v>
      </c>
      <c r="P19" s="1" t="s">
        <v>16</v>
      </c>
      <c r="Q19">
        <f t="shared" ref="Q19:AB19" si="7">_xlfn.STDEV.P(Q3:Q14)</f>
        <v>58.08677725145418</v>
      </c>
      <c r="R19">
        <f t="shared" si="7"/>
        <v>31.629145343652343</v>
      </c>
      <c r="S19">
        <f t="shared" si="7"/>
        <v>69.264834166163382</v>
      </c>
      <c r="T19">
        <f t="shared" si="7"/>
        <v>41.083893513690448</v>
      </c>
      <c r="U19">
        <f t="shared" si="7"/>
        <v>7.4824745882754217E-3</v>
      </c>
      <c r="V19">
        <f t="shared" si="7"/>
        <v>1.3287797242415867E-2</v>
      </c>
      <c r="W19">
        <f t="shared" si="7"/>
        <v>231.34566668324038</v>
      </c>
      <c r="X19">
        <f t="shared" si="7"/>
        <v>21.593987021439403</v>
      </c>
      <c r="Y19">
        <f t="shared" si="7"/>
        <v>0.27786383702468181</v>
      </c>
      <c r="Z19">
        <f t="shared" si="7"/>
        <v>4.3491576398549343E-2</v>
      </c>
      <c r="AA19">
        <f t="shared" si="7"/>
        <v>0.3420564016336059</v>
      </c>
      <c r="AB19">
        <f t="shared" si="7"/>
        <v>24.411145823251395</v>
      </c>
    </row>
    <row r="20" spans="1:28" x14ac:dyDescent="0.25">
      <c r="A20">
        <v>2</v>
      </c>
      <c r="B20">
        <v>1020</v>
      </c>
      <c r="C20">
        <v>294</v>
      </c>
      <c r="D20">
        <v>1006</v>
      </c>
      <c r="E20">
        <v>134</v>
      </c>
      <c r="F20">
        <v>0.33700000000000002</v>
      </c>
      <c r="G20">
        <v>0.43630000000000002</v>
      </c>
      <c r="H20">
        <v>1794</v>
      </c>
      <c r="I20">
        <v>128</v>
      </c>
      <c r="J20">
        <v>3.24</v>
      </c>
      <c r="K20">
        <v>1.131</v>
      </c>
      <c r="L20">
        <v>3.7989999999999999</v>
      </c>
      <c r="M20">
        <v>119</v>
      </c>
      <c r="P20" s="1" t="s">
        <v>17</v>
      </c>
      <c r="Q20">
        <f t="shared" ref="Q20:AB20" si="8">MEDIAN(Q3:Q14)</f>
        <v>1001.3181818181818</v>
      </c>
      <c r="R20">
        <f t="shared" si="8"/>
        <v>279.09090909090912</v>
      </c>
      <c r="S20">
        <f t="shared" si="8"/>
        <v>960.09090909090901</v>
      </c>
      <c r="T20">
        <f t="shared" si="8"/>
        <v>153.86363636363637</v>
      </c>
      <c r="U20">
        <f t="shared" si="8"/>
        <v>0.32730909090909094</v>
      </c>
      <c r="V20">
        <f t="shared" si="8"/>
        <v>0.43165909090909094</v>
      </c>
      <c r="W20">
        <f t="shared" si="8"/>
        <v>1453.1363636363635</v>
      </c>
      <c r="X20">
        <f t="shared" si="8"/>
        <v>98.5</v>
      </c>
      <c r="Y20">
        <f t="shared" si="8"/>
        <v>3.7808181818181819</v>
      </c>
      <c r="Z20">
        <f t="shared" si="8"/>
        <v>1.2047272727272729</v>
      </c>
      <c r="AA20">
        <f t="shared" si="8"/>
        <v>3.2080000000000002</v>
      </c>
      <c r="AB20">
        <f t="shared" si="8"/>
        <v>99.77272727272728</v>
      </c>
    </row>
    <row r="21" spans="1:28" ht="30" x14ac:dyDescent="0.25">
      <c r="A21">
        <v>3</v>
      </c>
      <c r="B21">
        <v>1004</v>
      </c>
      <c r="C21">
        <v>280</v>
      </c>
      <c r="D21">
        <v>998</v>
      </c>
      <c r="E21">
        <v>131</v>
      </c>
      <c r="F21">
        <v>0.3347</v>
      </c>
      <c r="G21">
        <v>0.43419999999999997</v>
      </c>
      <c r="H21">
        <v>1657</v>
      </c>
      <c r="I21">
        <v>120</v>
      </c>
      <c r="J21">
        <v>3.2669999999999999</v>
      </c>
      <c r="K21">
        <v>1.131</v>
      </c>
      <c r="L21">
        <v>3.7850000000000001</v>
      </c>
      <c r="M21">
        <v>118</v>
      </c>
      <c r="P21" s="1" t="s">
        <v>18</v>
      </c>
      <c r="Q21">
        <f t="shared" ref="Q21:AB21" si="9">_xlfn.VAR.P(Q3:Q14)</f>
        <v>3374.0736914600548</v>
      </c>
      <c r="R21">
        <f t="shared" si="9"/>
        <v>1000.4028351698847</v>
      </c>
      <c r="S21">
        <f t="shared" si="9"/>
        <v>4797.6172520661139</v>
      </c>
      <c r="T21">
        <f t="shared" si="9"/>
        <v>1687.8863062442558</v>
      </c>
      <c r="U21">
        <f t="shared" si="9"/>
        <v>5.5987425964187443E-5</v>
      </c>
      <c r="V21">
        <f t="shared" si="9"/>
        <v>1.7656555555555471E-4</v>
      </c>
      <c r="W21">
        <f t="shared" si="9"/>
        <v>53520.817493112962</v>
      </c>
      <c r="X21">
        <f t="shared" si="9"/>
        <v>466.30027548209341</v>
      </c>
      <c r="Y21">
        <f t="shared" si="9"/>
        <v>7.7208311926078924E-2</v>
      </c>
      <c r="Z21">
        <f t="shared" si="9"/>
        <v>1.8915172176308542E-3</v>
      </c>
      <c r="AA21">
        <f t="shared" si="9"/>
        <v>0.11700258189853072</v>
      </c>
      <c r="AB21">
        <f t="shared" si="9"/>
        <v>595.90404040404405</v>
      </c>
    </row>
    <row r="22" spans="1:28" x14ac:dyDescent="0.25">
      <c r="A22">
        <v>4</v>
      </c>
      <c r="B22">
        <v>990</v>
      </c>
      <c r="C22">
        <v>279</v>
      </c>
      <c r="D22">
        <v>990</v>
      </c>
      <c r="E22">
        <v>130</v>
      </c>
      <c r="F22">
        <v>0.33439999999999998</v>
      </c>
      <c r="G22">
        <v>0.43109999999999998</v>
      </c>
      <c r="H22">
        <v>1539</v>
      </c>
      <c r="I22">
        <v>114</v>
      </c>
      <c r="J22">
        <v>3.3620000000000001</v>
      </c>
      <c r="K22">
        <v>1.1499999999999999</v>
      </c>
      <c r="L22">
        <v>3.4830000000000001</v>
      </c>
      <c r="M22">
        <v>108</v>
      </c>
      <c r="P22" s="4"/>
    </row>
    <row r="23" spans="1:28" x14ac:dyDescent="0.25">
      <c r="A23">
        <v>5</v>
      </c>
      <c r="B23">
        <v>970</v>
      </c>
      <c r="C23">
        <v>277</v>
      </c>
      <c r="D23">
        <v>946</v>
      </c>
      <c r="E23">
        <v>121</v>
      </c>
      <c r="F23">
        <v>0.3322</v>
      </c>
      <c r="G23">
        <v>0.43030000000000002</v>
      </c>
      <c r="H23">
        <v>1511</v>
      </c>
      <c r="I23">
        <v>113</v>
      </c>
      <c r="J23">
        <v>3.3679999999999999</v>
      </c>
      <c r="K23">
        <v>1.157</v>
      </c>
      <c r="L23">
        <v>3.3239999999999998</v>
      </c>
      <c r="M23">
        <v>106</v>
      </c>
      <c r="W23" t="s">
        <v>8</v>
      </c>
      <c r="X23" t="s">
        <v>9</v>
      </c>
      <c r="AB23" t="s">
        <v>13</v>
      </c>
    </row>
    <row r="24" spans="1:28" x14ac:dyDescent="0.25">
      <c r="A24">
        <v>6</v>
      </c>
      <c r="B24">
        <v>959</v>
      </c>
      <c r="C24">
        <v>272</v>
      </c>
      <c r="D24">
        <v>941</v>
      </c>
      <c r="E24">
        <v>120</v>
      </c>
      <c r="F24">
        <v>0.33169999999999999</v>
      </c>
      <c r="G24">
        <v>0.42670000000000002</v>
      </c>
      <c r="H24">
        <v>1503</v>
      </c>
      <c r="I24">
        <v>111</v>
      </c>
      <c r="J24">
        <v>3.4049999999999998</v>
      </c>
      <c r="K24">
        <v>1.1579999999999999</v>
      </c>
      <c r="L24">
        <v>3.2709999999999999</v>
      </c>
      <c r="M24">
        <v>96</v>
      </c>
      <c r="S24" t="s">
        <v>19</v>
      </c>
      <c r="T24" s="5">
        <v>8.9282051282051302</v>
      </c>
      <c r="V24" s="5" t="s">
        <v>20</v>
      </c>
      <c r="W24" s="5">
        <f>(12*SLOPE(W4:W13,$P$4:$P$13)+INTERCEPT(W4:W13,$P$4:$P$13))/12</f>
        <v>92.818181818181827</v>
      </c>
      <c r="X24" s="5">
        <f>(12*SLOPE(X4:X13,$P$4:$P$13)+INTERCEPT(X4:X13,$P$4:$P$13))/9</f>
        <v>7.7131313131313117</v>
      </c>
      <c r="Y24" s="5"/>
      <c r="Z24" s="5"/>
      <c r="AA24" s="5"/>
      <c r="AB24" s="5">
        <f>(12*SLOPE(AB4:AB13,$P$4:$P$13)+INTERCEPT(AB4:AB13,$P$4:$P$13))/3</f>
        <v>20.131313131313135</v>
      </c>
    </row>
    <row r="25" spans="1:28" ht="15.75" thickBot="1" x14ac:dyDescent="0.3">
      <c r="A25">
        <v>7</v>
      </c>
      <c r="B25">
        <v>946</v>
      </c>
      <c r="C25">
        <v>262</v>
      </c>
      <c r="D25">
        <v>915</v>
      </c>
      <c r="E25">
        <v>117</v>
      </c>
      <c r="F25">
        <v>0.32069999999999999</v>
      </c>
      <c r="G25">
        <v>0.4234</v>
      </c>
      <c r="H25">
        <v>1441</v>
      </c>
      <c r="I25">
        <v>102</v>
      </c>
      <c r="J25">
        <v>3.7440000000000002</v>
      </c>
      <c r="K25">
        <v>1.1990000000000001</v>
      </c>
      <c r="L25">
        <v>3.2679999999999998</v>
      </c>
      <c r="M25">
        <v>90</v>
      </c>
      <c r="S25" t="s">
        <v>21</v>
      </c>
      <c r="T25" s="5">
        <v>9.2242424242424246</v>
      </c>
    </row>
    <row r="26" spans="1:28" ht="30" x14ac:dyDescent="0.25">
      <c r="A26">
        <v>8</v>
      </c>
      <c r="B26">
        <v>946</v>
      </c>
      <c r="C26">
        <v>251</v>
      </c>
      <c r="D26">
        <v>907</v>
      </c>
      <c r="E26">
        <v>115</v>
      </c>
      <c r="F26">
        <v>0.3206</v>
      </c>
      <c r="G26">
        <v>0.4204</v>
      </c>
      <c r="H26">
        <v>1230</v>
      </c>
      <c r="I26">
        <v>99</v>
      </c>
      <c r="J26">
        <v>3.9620000000000002</v>
      </c>
      <c r="K26">
        <v>1.2130000000000001</v>
      </c>
      <c r="L26">
        <v>3.2240000000000002</v>
      </c>
      <c r="M26">
        <v>76</v>
      </c>
      <c r="P26" s="6" t="s">
        <v>22</v>
      </c>
      <c r="Q26" s="7">
        <f>(12*SLOPE(Q4:Q13,$P$4:$P$13)+INTERCEPT(Q4:Q13,$P$4:$P$13))/13</f>
        <v>69.793006993007012</v>
      </c>
      <c r="R26" s="7">
        <f>(12*SLOPE(R4:R13,$P$4:$P$13)+INTERCEPT(R4:R13,$P$4:$P$13))/13</f>
        <v>18.550582750582752</v>
      </c>
      <c r="S26" s="7">
        <f>(12*SLOPE(S4:S13,$P$4:$P$13)+INTERCEPT(S4:S13,$P$4:$P$13))/13</f>
        <v>66.730069930069945</v>
      </c>
      <c r="T26" s="7">
        <f>(12*SLOPE(T4:T13,$P$4:$P$13)+INTERCEPT(T4:T13,$P$4:$P$13))/13</f>
        <v>7.1776223776223782</v>
      </c>
      <c r="U26" s="7">
        <f>(12*SLOPE(U4:U13,$P$4:$P$13)+INTERCEPT(U4:U13,$P$4:$P$13))</f>
        <v>0.31711878787878778</v>
      </c>
      <c r="V26" s="7">
        <f>(12*SLOPE(V4:V13,$P$4:$P$13)+INTERCEPT(V4:V13,$P$4:$P$13))</f>
        <v>0.41469272727272727</v>
      </c>
      <c r="W26" s="7">
        <f>(12*SLOPE(W4:W13,$P$4:$P$13)+INTERCEPT(W4:W13,$P$4:$P$13))/12</f>
        <v>92.818181818181827</v>
      </c>
      <c r="X26" s="7">
        <f>(12*SLOPE(X4:X13,$P$4:$P$13)+INTERCEPT(X4:X13,$P$4:$P$13))/8</f>
        <v>8.6772727272727259</v>
      </c>
      <c r="Y26" s="7">
        <f>(12*SLOPE(Y4:Y13,$P$4:$P$13)+INTERCEPT(Y4:Y13,$P$4:$P$13))</f>
        <v>4.2237151515151519</v>
      </c>
      <c r="Z26" s="7">
        <f>(12*SLOPE(Z4:Z13,$P$4:$P$13)+INTERCEPT(Z4:Z13,$P$4:$P$13))</f>
        <v>1.2728787878787879</v>
      </c>
      <c r="AA26" s="7">
        <f>(12*SLOPE(AA4:AA13,$P$4:$P$13)+INTERCEPT(AA4:AA13,$P$4:$P$13))</f>
        <v>2.7432848484848491</v>
      </c>
      <c r="AB26" s="7">
        <f>(12*SLOPE(AB4:AB13,$P$4:$P$13)+INTERCEPT(AB4:AB13,$P$4:$P$13))/4</f>
        <v>15.098484848484851</v>
      </c>
    </row>
    <row r="27" spans="1:28" ht="30.75" thickBot="1" x14ac:dyDescent="0.3">
      <c r="A27">
        <v>9</v>
      </c>
      <c r="B27">
        <v>945</v>
      </c>
      <c r="C27">
        <v>247</v>
      </c>
      <c r="D27">
        <v>878</v>
      </c>
      <c r="E27">
        <v>103</v>
      </c>
      <c r="F27">
        <v>0.31680000000000003</v>
      </c>
      <c r="G27">
        <v>0.41689999999999999</v>
      </c>
      <c r="H27">
        <v>1220</v>
      </c>
      <c r="I27">
        <v>96</v>
      </c>
      <c r="J27">
        <v>3.9870000000000001</v>
      </c>
      <c r="K27">
        <v>1.2250000000000001</v>
      </c>
      <c r="L27">
        <v>3.1949999999999998</v>
      </c>
      <c r="M27">
        <v>60</v>
      </c>
      <c r="P27" s="8" t="s">
        <v>23</v>
      </c>
      <c r="Q27" s="9">
        <f t="shared" ref="Q27:AB27" si="10">-1*SLOPE(Q4:Q13,$P$4:$P$13)</f>
        <v>16.226446280991738</v>
      </c>
      <c r="R27" s="9">
        <f t="shared" si="10"/>
        <v>7.1366391184572988</v>
      </c>
      <c r="S27" s="9">
        <f t="shared" si="10"/>
        <v>16.505785123966938</v>
      </c>
      <c r="T27" s="9">
        <f t="shared" si="10"/>
        <v>11.130578512396696</v>
      </c>
      <c r="U27" s="9">
        <f t="shared" si="10"/>
        <v>1.8967493112947687E-3</v>
      </c>
      <c r="V27" s="9">
        <f t="shared" si="10"/>
        <v>3.3226446280991695E-3</v>
      </c>
      <c r="W27" s="9">
        <f t="shared" si="10"/>
        <v>59.920661157024789</v>
      </c>
      <c r="X27" s="9">
        <f t="shared" si="10"/>
        <v>4.9553719008264467</v>
      </c>
      <c r="Y27" s="9">
        <f t="shared" si="10"/>
        <v>-7.2483746556473813E-2</v>
      </c>
      <c r="Z27" s="9">
        <f t="shared" si="10"/>
        <v>-1.1739944903581261E-2</v>
      </c>
      <c r="AA27" s="9">
        <f t="shared" si="10"/>
        <v>8.5868870523415963E-2</v>
      </c>
      <c r="AB27" s="9">
        <f t="shared" si="10"/>
        <v>6.3763085399449029</v>
      </c>
    </row>
    <row r="28" spans="1:28" ht="30" x14ac:dyDescent="0.25">
      <c r="A28">
        <v>10</v>
      </c>
      <c r="B28">
        <v>940</v>
      </c>
      <c r="C28">
        <v>234</v>
      </c>
      <c r="D28">
        <v>855</v>
      </c>
      <c r="E28">
        <v>76</v>
      </c>
      <c r="F28">
        <v>0.31669999999999998</v>
      </c>
      <c r="G28">
        <v>0.41620000000000001</v>
      </c>
      <c r="H28">
        <v>1198</v>
      </c>
      <c r="I28">
        <v>93</v>
      </c>
      <c r="J28">
        <v>4.0730000000000004</v>
      </c>
      <c r="K28">
        <v>1.236</v>
      </c>
      <c r="L28">
        <v>3.1640000000000001</v>
      </c>
      <c r="M28">
        <v>37</v>
      </c>
      <c r="P28" s="10" t="s">
        <v>24</v>
      </c>
      <c r="Q28" s="11">
        <f>$S$27/Q27</f>
        <v>1.0172150351431186</v>
      </c>
      <c r="R28" s="11">
        <f>$S$27/R27</f>
        <v>2.3128232841812704</v>
      </c>
      <c r="S28" s="11">
        <f>$S$27/S27</f>
        <v>1</v>
      </c>
      <c r="T28" s="11">
        <f>$S$27/T27</f>
        <v>1.4829224829224823</v>
      </c>
      <c r="U28" s="11">
        <f>$S$27/U27/1000</f>
        <v>8.702143728577223</v>
      </c>
      <c r="V28" s="11">
        <f>$S$27/V27/1000</f>
        <v>4.967664908964287</v>
      </c>
      <c r="W28" s="11">
        <f t="shared" ref="W28:AB28" si="11">W27/$W$27</f>
        <v>1</v>
      </c>
      <c r="X28" s="11">
        <f t="shared" si="11"/>
        <v>8.2698885578726705E-2</v>
      </c>
      <c r="Y28" s="11">
        <f t="shared" si="11"/>
        <v>-1.2096619956600094E-3</v>
      </c>
      <c r="Z28" s="11">
        <f t="shared" si="11"/>
        <v>-1.9592482253852651E-4</v>
      </c>
      <c r="AA28" s="11">
        <f t="shared" si="11"/>
        <v>1.4330427746515133E-3</v>
      </c>
      <c r="AB28" s="11">
        <f t="shared" si="11"/>
        <v>0.10641251976902423</v>
      </c>
    </row>
    <row r="29" spans="1:28" x14ac:dyDescent="0.25">
      <c r="A29">
        <v>11</v>
      </c>
      <c r="B29">
        <v>915</v>
      </c>
      <c r="C29">
        <v>229</v>
      </c>
      <c r="D29">
        <v>844</v>
      </c>
      <c r="E29">
        <v>75</v>
      </c>
      <c r="F29">
        <v>0.31419999999999998</v>
      </c>
      <c r="G29">
        <v>0.4138</v>
      </c>
      <c r="H29">
        <v>1174</v>
      </c>
      <c r="I29">
        <v>75</v>
      </c>
      <c r="J29">
        <v>4.1189999999999998</v>
      </c>
      <c r="K29">
        <v>1.24</v>
      </c>
      <c r="L29">
        <v>3.1150000000000002</v>
      </c>
      <c r="M29">
        <v>34</v>
      </c>
    </row>
    <row r="30" spans="1:28" ht="45" x14ac:dyDescent="0.25">
      <c r="A30">
        <v>12</v>
      </c>
      <c r="B30">
        <v>894</v>
      </c>
      <c r="C30">
        <v>212</v>
      </c>
      <c r="D30">
        <v>804</v>
      </c>
      <c r="E30">
        <v>62</v>
      </c>
      <c r="F30">
        <v>0.31030000000000002</v>
      </c>
      <c r="G30">
        <v>0.40610000000000002</v>
      </c>
      <c r="H30">
        <v>1106</v>
      </c>
      <c r="I30">
        <v>60</v>
      </c>
      <c r="J30">
        <v>4.2439999999999998</v>
      </c>
      <c r="K30">
        <v>1.2470000000000001</v>
      </c>
      <c r="L30">
        <v>2.7930000000000001</v>
      </c>
      <c r="M30">
        <v>30</v>
      </c>
      <c r="P30" s="12" t="s">
        <v>25</v>
      </c>
      <c r="Q30" s="13">
        <f>(IF(Q3&lt;Q45,Q3,Q4)-IF(Q14&gt;Q44,Q14,Q13))/(COUNT(IF(Q3&lt;Q45,Q3,Q4):IF(Q14&gt;Q44,Q14,Q13))-1)</f>
        <v>17.280991735537192</v>
      </c>
      <c r="R30" s="13">
        <f>(IF(R3&lt;R45,R3,R4)-IF(R14&gt;R44,R14,R13))/(COUNT(IF(R3&lt;R45,R3,R4):IF(R14&gt;R44,R14,R13))-1)</f>
        <v>7.616161616161615</v>
      </c>
      <c r="S30" s="13">
        <f>(IF(S3&lt;S45,S3,S4)-IF(S14&gt;S44,S14,S13))/(COUNT(IF(S3&lt;S45,S3,S4):IF(S14&gt;S44,S14,S13))-1)</f>
        <v>21.127272727272725</v>
      </c>
      <c r="T30" s="13">
        <f>(IF(T3&lt;T45,T3,T4)-IF(T14&gt;T44,T14,T13))/(COUNT(IF(T3&lt;T45,T3,T4):IF(T14&gt;T44,T14,T13))-1)</f>
        <v>12.768595041322312</v>
      </c>
      <c r="U30" s="13">
        <f>(IF(U3&lt;U45,U3,U4)-IF(U14&gt;U44,U14,U13))/(COUNT(IF(U3&lt;U45,U3,U4):IF(U14&gt;U44,U14,U13))-1)</f>
        <v>2.4702479338842994E-3</v>
      </c>
      <c r="V30" s="13">
        <f>(IF(V3&lt;V45,V3,V4)-IF(V14&gt;V44,V14,V13))/(COUNT(IF(V3&lt;V45,V3,V4):IF(V14&gt;V44,V14,V13))-1)</f>
        <v>3.7936363636363601E-3</v>
      </c>
      <c r="W30" s="13">
        <f>(IF(W3&lt;W45,W3,W4)-IF(W14&gt;W44,W14,W13))/(COUNT(IF(W3&lt;W45,W3,W4):IF(W14&gt;W44,W14,W13))-1)</f>
        <v>74.710743801652896</v>
      </c>
      <c r="X30" s="13">
        <f>(IF(X3&lt;X45,X3,X4)-IF(X14&gt;X44,X14,X13))/(COUNT(IF(X3&lt;X45,X3,X4):IF(X14&gt;X44,X14,X13))-1)</f>
        <v>5.8383838383838382</v>
      </c>
      <c r="Y30" s="13">
        <f>(IF(Y3&lt;Y45,Y3,Y4)-IF(Y14&gt;Y44,Y14,Y13))/(COUNT(IF(Y3&lt;Y45,Y3,Y4):IF(Y14&gt;Y44,Y14,Y13))-1)</f>
        <v>-8.942975206611567E-2</v>
      </c>
      <c r="Z30" s="13">
        <f>(IF(Z3&lt;Z45,Z3,Z4)-IF(Z14&gt;Z44,Z14,Z13))/(COUNT(IF(Z3&lt;Z45,Z3,Z4):IF(Z14&gt;Z44,Z14,Z13))-1)</f>
        <v>-1.3454545454545467E-2</v>
      </c>
      <c r="AA30" s="13">
        <f>(IF(AA3&lt;AA45,AA3,AA4)-IF(AA14&gt;AA44,AA14,AA13))/(COUNT(IF(AA3&lt;AA45,AA3,AA4):IF(AA14&gt;AA44,AA14,AA13))-1)</f>
        <v>0.11390909090909092</v>
      </c>
      <c r="AB30" s="13">
        <f>(IF(AB3&lt;AB45,AB3,AB4)-IF(AB14&gt;AB44,AB14,AB13))/(COUNT(IF(AB3&lt;AB45,AB3,AB4):IF(AB14&gt;AB44,AB14,AB13))-1)</f>
        <v>7.8595041322314065</v>
      </c>
    </row>
    <row r="31" spans="1:28" ht="30" x14ac:dyDescent="0.25">
      <c r="B31">
        <f t="shared" ref="B31:M31" si="12">-1*SLOPE(B20:B29,$A$20:$A$29)</f>
        <v>10.32121212121212</v>
      </c>
      <c r="C31">
        <f t="shared" si="12"/>
        <v>7</v>
      </c>
      <c r="D31">
        <f t="shared" si="12"/>
        <v>19.163636363636364</v>
      </c>
      <c r="E31">
        <f t="shared" si="12"/>
        <v>6.4969696969696971</v>
      </c>
      <c r="F31">
        <f t="shared" si="12"/>
        <v>2.8181818181818195E-3</v>
      </c>
      <c r="G31">
        <f t="shared" si="12"/>
        <v>2.621212121212121E-3</v>
      </c>
      <c r="H31">
        <f t="shared" si="12"/>
        <v>68.442424242424238</v>
      </c>
      <c r="I31">
        <f t="shared" si="12"/>
        <v>4.8909090909090907</v>
      </c>
      <c r="J31">
        <f t="shared" si="12"/>
        <v>-0.11393333333333333</v>
      </c>
      <c r="K31">
        <f t="shared" si="12"/>
        <v>-1.3939393939393944E-2</v>
      </c>
      <c r="L31">
        <f t="shared" si="12"/>
        <v>7.4218181818181794E-2</v>
      </c>
      <c r="M31">
        <f t="shared" si="12"/>
        <v>10.109090909090909</v>
      </c>
      <c r="P31" s="12" t="s">
        <v>26</v>
      </c>
      <c r="Q31" s="13">
        <f t="shared" ref="Q31:AB31" si="13">(Q3-Q14)/11</f>
        <v>17.280991735537192</v>
      </c>
      <c r="R31" s="13">
        <f t="shared" si="13"/>
        <v>11.173553719008261</v>
      </c>
      <c r="S31" s="13">
        <f t="shared" si="13"/>
        <v>23.925619834710741</v>
      </c>
      <c r="T31" s="13">
        <f t="shared" si="13"/>
        <v>12.768595041322312</v>
      </c>
      <c r="U31" s="13">
        <f t="shared" si="13"/>
        <v>2.4702479338842994E-3</v>
      </c>
      <c r="V31" s="13">
        <f t="shared" si="13"/>
        <v>4.3983471074380024E-3</v>
      </c>
      <c r="W31" s="13">
        <f t="shared" si="13"/>
        <v>74.710743801652896</v>
      </c>
      <c r="X31" s="13">
        <f t="shared" si="13"/>
        <v>7.5206611570247954</v>
      </c>
      <c r="Y31" s="13">
        <f t="shared" si="13"/>
        <v>-8.942975206611567E-2</v>
      </c>
      <c r="Z31" s="13">
        <f t="shared" si="13"/>
        <v>-1.3454545454545467E-2</v>
      </c>
      <c r="AA31" s="13">
        <f t="shared" si="13"/>
        <v>0.11390909090909092</v>
      </c>
      <c r="AB31" s="13">
        <f t="shared" si="13"/>
        <v>7.8595041322314065</v>
      </c>
    </row>
    <row r="32" spans="1:28" x14ac:dyDescent="0.25">
      <c r="B32">
        <f t="shared" ref="B32:G32" si="14">B31/$D$31</f>
        <v>0.53858317520556609</v>
      </c>
      <c r="C32">
        <f t="shared" si="14"/>
        <v>0.36527514231499053</v>
      </c>
      <c r="D32">
        <f t="shared" si="14"/>
        <v>1</v>
      </c>
      <c r="E32">
        <f t="shared" si="14"/>
        <v>0.33902593295382671</v>
      </c>
      <c r="F32">
        <f t="shared" si="14"/>
        <v>1.4705882352941183E-4</v>
      </c>
      <c r="G32">
        <f t="shared" si="14"/>
        <v>1.3678051865907652E-4</v>
      </c>
      <c r="H32">
        <f t="shared" ref="H32:M32" si="15">H31/$H$31</f>
        <v>1</v>
      </c>
      <c r="I32">
        <f t="shared" si="15"/>
        <v>7.146019658195342E-2</v>
      </c>
      <c r="J32">
        <f t="shared" si="15"/>
        <v>-1.6646595235986896E-3</v>
      </c>
      <c r="K32">
        <f t="shared" si="15"/>
        <v>-2.0366598778004082E-4</v>
      </c>
      <c r="L32">
        <f t="shared" si="15"/>
        <v>1.0843885592845123E-3</v>
      </c>
      <c r="M32">
        <f t="shared" si="15"/>
        <v>0.14770211635526434</v>
      </c>
      <c r="P32" s="12" t="s">
        <v>27</v>
      </c>
      <c r="Q32" s="13">
        <f t="shared" ref="Q32:AB32" si="16">MAX(Q3:Q14)</f>
        <v>1074.909090909091</v>
      </c>
      <c r="R32" s="13">
        <f t="shared" si="16"/>
        <v>335.09090909090907</v>
      </c>
      <c r="S32" s="13">
        <f t="shared" si="16"/>
        <v>1081.5454545454545</v>
      </c>
      <c r="T32" s="13">
        <f t="shared" si="16"/>
        <v>216.18181818181819</v>
      </c>
      <c r="U32" s="13">
        <f t="shared" si="16"/>
        <v>0.34179999999999999</v>
      </c>
      <c r="V32" s="13">
        <f t="shared" si="16"/>
        <v>0.46048181818181805</v>
      </c>
      <c r="W32" s="13">
        <f t="shared" si="16"/>
        <v>1800.4545454545455</v>
      </c>
      <c r="X32" s="13">
        <f t="shared" si="16"/>
        <v>132.36363636363637</v>
      </c>
      <c r="Y32" s="13">
        <f t="shared" si="16"/>
        <v>4.3376363636363635</v>
      </c>
      <c r="Z32" s="13">
        <f t="shared" si="16"/>
        <v>1.2714545454545456</v>
      </c>
      <c r="AA32" s="13">
        <f t="shared" si="16"/>
        <v>3.8891818181818181</v>
      </c>
      <c r="AB32" s="13">
        <f t="shared" si="16"/>
        <v>138.45454545454547</v>
      </c>
    </row>
    <row r="33" spans="1:28" ht="15.75" thickBot="1" x14ac:dyDescent="0.3">
      <c r="A33">
        <v>2021</v>
      </c>
      <c r="P33" s="12" t="s">
        <v>28</v>
      </c>
      <c r="Q33" s="13">
        <f t="shared" ref="Q33:AB33" si="17">MIN(Q3:Q14)</f>
        <v>884.81818181818187</v>
      </c>
      <c r="R33" s="13">
        <f t="shared" si="17"/>
        <v>212.18181818181819</v>
      </c>
      <c r="S33" s="13">
        <f t="shared" si="17"/>
        <v>818.36363636363637</v>
      </c>
      <c r="T33" s="13">
        <f t="shared" si="17"/>
        <v>75.727272727272734</v>
      </c>
      <c r="U33" s="13">
        <f t="shared" si="17"/>
        <v>0.3146272727272727</v>
      </c>
      <c r="V33" s="13">
        <f t="shared" si="17"/>
        <v>0.41210000000000002</v>
      </c>
      <c r="W33" s="13">
        <f t="shared" si="17"/>
        <v>978.63636363636363</v>
      </c>
      <c r="X33" s="13">
        <f t="shared" si="17"/>
        <v>49.636363636363633</v>
      </c>
      <c r="Y33" s="13">
        <f t="shared" si="17"/>
        <v>3.3539090909090912</v>
      </c>
      <c r="Z33" s="13">
        <f t="shared" si="17"/>
        <v>1.1234545454545455</v>
      </c>
      <c r="AA33" s="13">
        <f t="shared" si="17"/>
        <v>2.636181818181818</v>
      </c>
      <c r="AB33" s="13">
        <f t="shared" si="17"/>
        <v>52</v>
      </c>
    </row>
    <row r="34" spans="1:28" ht="16.5" thickTop="1" thickBot="1" x14ac:dyDescent="0.3">
      <c r="A34" s="14" t="s">
        <v>29</v>
      </c>
      <c r="B34" s="14" t="s">
        <v>2</v>
      </c>
      <c r="C34" s="14" t="s">
        <v>3</v>
      </c>
      <c r="D34" s="14" t="s">
        <v>4</v>
      </c>
      <c r="E34" s="14" t="s">
        <v>5</v>
      </c>
      <c r="F34" s="14" t="s">
        <v>6</v>
      </c>
      <c r="G34" s="14" t="s">
        <v>7</v>
      </c>
      <c r="H34" s="14" t="s">
        <v>8</v>
      </c>
      <c r="I34" s="14" t="s">
        <v>9</v>
      </c>
      <c r="J34" s="14" t="s">
        <v>10</v>
      </c>
      <c r="K34" s="14" t="s">
        <v>11</v>
      </c>
      <c r="L34" s="14" t="s">
        <v>12</v>
      </c>
      <c r="M34" s="14" t="s">
        <v>30</v>
      </c>
      <c r="P34" s="12" t="s">
        <v>31</v>
      </c>
      <c r="Q34" s="13">
        <f t="shared" ref="Q34:AB34" si="18">100*Q19/Q17</f>
        <v>5.8450766113158856</v>
      </c>
      <c r="R34" s="13">
        <f t="shared" si="18"/>
        <v>11.325233108265591</v>
      </c>
      <c r="S34" s="13">
        <f t="shared" si="18"/>
        <v>7.2385642431921449</v>
      </c>
      <c r="T34" s="13">
        <f t="shared" si="18"/>
        <v>26.834944548503831</v>
      </c>
      <c r="U34" s="13">
        <f t="shared" si="18"/>
        <v>2.2835999048637978</v>
      </c>
      <c r="V34" s="13">
        <f t="shared" si="18"/>
        <v>3.0650858299179635</v>
      </c>
      <c r="W34" s="13">
        <f t="shared" si="18"/>
        <v>16.128290607571344</v>
      </c>
      <c r="X34" s="13">
        <f t="shared" si="18"/>
        <v>22.557821199984179</v>
      </c>
      <c r="Y34" s="13">
        <f t="shared" si="18"/>
        <v>7.2577585789339532</v>
      </c>
      <c r="Z34" s="13">
        <f t="shared" si="18"/>
        <v>3.6047721838830782</v>
      </c>
      <c r="AA34" s="13">
        <f t="shared" si="18"/>
        <v>10.611609884964896</v>
      </c>
      <c r="AB34" s="13">
        <f t="shared" si="18"/>
        <v>25.581702514045602</v>
      </c>
    </row>
    <row r="35" spans="1:28" ht="31.5" thickTop="1" thickBot="1" x14ac:dyDescent="0.3">
      <c r="A35" s="14">
        <v>1</v>
      </c>
      <c r="B35">
        <v>1102</v>
      </c>
      <c r="C35">
        <v>317</v>
      </c>
      <c r="D35">
        <v>1082</v>
      </c>
      <c r="E35">
        <v>165</v>
      </c>
      <c r="F35">
        <v>0.34789999999999999</v>
      </c>
      <c r="G35">
        <v>0.47149999999999997</v>
      </c>
      <c r="H35">
        <v>1665</v>
      </c>
      <c r="I35">
        <v>118</v>
      </c>
      <c r="J35">
        <v>3.427</v>
      </c>
      <c r="K35">
        <v>1.1240000000000001</v>
      </c>
      <c r="L35">
        <v>3.9969999999999999</v>
      </c>
      <c r="M35">
        <v>119</v>
      </c>
      <c r="P35" s="1" t="s">
        <v>32</v>
      </c>
      <c r="Q35">
        <v>7</v>
      </c>
      <c r="R35">
        <v>5</v>
      </c>
      <c r="S35">
        <v>6</v>
      </c>
      <c r="T35">
        <v>8</v>
      </c>
      <c r="U35">
        <v>3</v>
      </c>
      <c r="V35">
        <v>4</v>
      </c>
      <c r="W35">
        <v>3</v>
      </c>
      <c r="X35">
        <v>2</v>
      </c>
      <c r="Y35">
        <v>2</v>
      </c>
      <c r="Z35">
        <v>2</v>
      </c>
      <c r="AA35">
        <v>2</v>
      </c>
      <c r="AB35">
        <v>3</v>
      </c>
    </row>
    <row r="36" spans="1:28" ht="16.5" thickTop="1" thickBot="1" x14ac:dyDescent="0.3">
      <c r="A36" s="14">
        <v>2</v>
      </c>
      <c r="B36">
        <v>1068</v>
      </c>
      <c r="C36">
        <v>315</v>
      </c>
      <c r="D36">
        <v>1017</v>
      </c>
      <c r="E36">
        <v>132</v>
      </c>
      <c r="F36">
        <v>0.34699999999999998</v>
      </c>
      <c r="G36">
        <v>0.46910000000000002</v>
      </c>
      <c r="H36">
        <v>1654</v>
      </c>
      <c r="I36">
        <v>117</v>
      </c>
      <c r="J36">
        <v>3.4359999999999999</v>
      </c>
      <c r="K36">
        <v>1.133</v>
      </c>
      <c r="L36">
        <v>3.8079999999999998</v>
      </c>
      <c r="M36">
        <v>95</v>
      </c>
      <c r="Q36" s="14" t="s">
        <v>2</v>
      </c>
      <c r="R36" s="14" t="s">
        <v>3</v>
      </c>
      <c r="S36" s="14" t="s">
        <v>4</v>
      </c>
      <c r="T36" s="14" t="s">
        <v>5</v>
      </c>
      <c r="U36" s="14" t="s">
        <v>6</v>
      </c>
      <c r="V36" s="14" t="s">
        <v>7</v>
      </c>
      <c r="W36" s="14" t="s">
        <v>8</v>
      </c>
      <c r="X36" s="14" t="s">
        <v>9</v>
      </c>
      <c r="Y36" s="14" t="s">
        <v>10</v>
      </c>
      <c r="Z36" s="14" t="s">
        <v>11</v>
      </c>
      <c r="AA36" s="14" t="s">
        <v>12</v>
      </c>
      <c r="AB36" s="14" t="s">
        <v>13</v>
      </c>
    </row>
    <row r="37" spans="1:28" ht="16.5" thickTop="1" thickBot="1" x14ac:dyDescent="0.3">
      <c r="A37" s="14">
        <v>3</v>
      </c>
      <c r="B37">
        <v>1068</v>
      </c>
      <c r="C37">
        <v>313</v>
      </c>
      <c r="D37">
        <v>1013</v>
      </c>
      <c r="E37">
        <v>130</v>
      </c>
      <c r="F37">
        <v>0.33989999999999998</v>
      </c>
      <c r="G37">
        <v>0.46700000000000003</v>
      </c>
      <c r="H37">
        <v>1649</v>
      </c>
      <c r="I37">
        <v>116</v>
      </c>
      <c r="J37">
        <v>3.5310000000000001</v>
      </c>
      <c r="K37">
        <v>1.1339999999999999</v>
      </c>
      <c r="L37">
        <v>3.7530000000000001</v>
      </c>
      <c r="M37">
        <v>92</v>
      </c>
      <c r="P37" s="15">
        <v>3</v>
      </c>
      <c r="Q37" s="5">
        <f>Q5</f>
        <v>1049.3636363636363</v>
      </c>
      <c r="R37" s="5">
        <f t="shared" ref="R37:AB37" si="19">R5</f>
        <v>300</v>
      </c>
      <c r="S37" s="5">
        <f t="shared" si="19"/>
        <v>1013.0909090909091</v>
      </c>
      <c r="T37" s="5">
        <f t="shared" si="19"/>
        <v>194.81818181818181</v>
      </c>
      <c r="U37" s="5">
        <f t="shared" si="19"/>
        <v>0.33337272727272732</v>
      </c>
      <c r="V37" s="5">
        <f t="shared" si="19"/>
        <v>0.44380909090909082</v>
      </c>
      <c r="W37" s="5">
        <f t="shared" si="19"/>
        <v>1646.5454545454545</v>
      </c>
      <c r="X37" s="5">
        <f t="shared" si="19"/>
        <v>111.18181818181819</v>
      </c>
      <c r="Y37" s="5">
        <f t="shared" si="19"/>
        <v>3.5865454545454543</v>
      </c>
      <c r="Z37" s="5">
        <f t="shared" si="19"/>
        <v>1.163909090909091</v>
      </c>
      <c r="AA37" s="5">
        <f t="shared" si="19"/>
        <v>3.4907272727272725</v>
      </c>
      <c r="AB37" s="5">
        <f t="shared" si="19"/>
        <v>116.18181818181819</v>
      </c>
    </row>
    <row r="38" spans="1:28" ht="46.5" thickTop="1" thickBot="1" x14ac:dyDescent="0.3">
      <c r="A38" s="14">
        <v>4</v>
      </c>
      <c r="B38">
        <v>1043</v>
      </c>
      <c r="C38">
        <v>313</v>
      </c>
      <c r="D38">
        <v>1009</v>
      </c>
      <c r="E38">
        <v>124</v>
      </c>
      <c r="F38">
        <v>0.3392</v>
      </c>
      <c r="G38">
        <v>0.45850000000000002</v>
      </c>
      <c r="H38">
        <v>1566</v>
      </c>
      <c r="I38">
        <v>110</v>
      </c>
      <c r="J38">
        <v>3.6120000000000001</v>
      </c>
      <c r="K38">
        <v>1.145</v>
      </c>
      <c r="L38">
        <v>3.6909999999999998</v>
      </c>
      <c r="M38">
        <v>89</v>
      </c>
      <c r="P38" s="16" t="s">
        <v>33</v>
      </c>
      <c r="Q38" s="17">
        <f>Q37/13</f>
        <v>80.720279720279706</v>
      </c>
      <c r="R38" s="17">
        <f>R37/13</f>
        <v>23.076923076923077</v>
      </c>
      <c r="S38" s="17">
        <f>S37/13</f>
        <v>77.930069930069934</v>
      </c>
      <c r="T38" s="17">
        <f>T37/13</f>
        <v>14.986013986013985</v>
      </c>
      <c r="U38" s="17">
        <f>U37</f>
        <v>0.33337272727272732</v>
      </c>
      <c r="V38" s="17">
        <f>V37</f>
        <v>0.44380909090909082</v>
      </c>
      <c r="W38" s="17">
        <f>W37/9</f>
        <v>182.94949494949495</v>
      </c>
      <c r="X38" s="17">
        <f>X37/9</f>
        <v>12.353535353535355</v>
      </c>
      <c r="Y38" s="17">
        <f>Y37</f>
        <v>3.5865454545454543</v>
      </c>
      <c r="Z38" s="17">
        <f>Z37</f>
        <v>1.163909090909091</v>
      </c>
      <c r="AA38" s="17">
        <f>AA37</f>
        <v>3.4907272727272725</v>
      </c>
      <c r="AB38" s="17">
        <f>AB37/9</f>
        <v>12.90909090909091</v>
      </c>
    </row>
    <row r="39" spans="1:28" ht="61.5" thickTop="1" thickBot="1" x14ac:dyDescent="0.3">
      <c r="A39" s="14">
        <v>5</v>
      </c>
      <c r="B39">
        <v>1041</v>
      </c>
      <c r="C39">
        <v>305</v>
      </c>
      <c r="D39">
        <v>985</v>
      </c>
      <c r="E39">
        <v>117</v>
      </c>
      <c r="F39">
        <v>0.3392</v>
      </c>
      <c r="G39">
        <v>0.45810000000000001</v>
      </c>
      <c r="H39">
        <v>1547</v>
      </c>
      <c r="I39">
        <v>104</v>
      </c>
      <c r="J39">
        <v>3.6190000000000002</v>
      </c>
      <c r="K39">
        <v>1.1639999999999999</v>
      </c>
      <c r="L39">
        <v>3.5470000000000002</v>
      </c>
      <c r="M39">
        <v>77</v>
      </c>
      <c r="P39" s="15" t="s">
        <v>34</v>
      </c>
      <c r="Q39" s="5">
        <f>3*SLOPE(Q4:Q13,$P$4:$P$13)+INTERCEPT(Q4:Q13,$P$4:$P$13)</f>
        <v>1053.3471074380166</v>
      </c>
      <c r="R39" s="5">
        <f t="shared" ref="R39:AB39" si="20">3*SLOPE(R4:R13,$P$4:$P$13)+INTERCEPT(R4:R13,$P$4:$P$13)</f>
        <v>305.38732782369146</v>
      </c>
      <c r="S39" s="5">
        <f t="shared" si="20"/>
        <v>1016.0429752066117</v>
      </c>
      <c r="T39" s="5">
        <f t="shared" si="20"/>
        <v>193.48429752066119</v>
      </c>
      <c r="U39" s="5">
        <f t="shared" si="20"/>
        <v>0.33418953168044074</v>
      </c>
      <c r="V39" s="5">
        <f t="shared" si="20"/>
        <v>0.44459652892561979</v>
      </c>
      <c r="W39" s="5">
        <f t="shared" si="20"/>
        <v>1653.1041322314049</v>
      </c>
      <c r="X39" s="5">
        <f t="shared" si="20"/>
        <v>114.01652892561984</v>
      </c>
      <c r="Y39" s="5">
        <f t="shared" si="20"/>
        <v>3.5713614325068876</v>
      </c>
      <c r="Z39" s="5">
        <f t="shared" si="20"/>
        <v>1.1672192837465565</v>
      </c>
      <c r="AA39" s="5">
        <f t="shared" si="20"/>
        <v>3.5161046831955929</v>
      </c>
      <c r="AB39" s="5">
        <f t="shared" si="20"/>
        <v>117.78071625344353</v>
      </c>
    </row>
    <row r="40" spans="1:28" ht="31.5" thickTop="1" thickBot="1" x14ac:dyDescent="0.3">
      <c r="A40" s="14">
        <v>6</v>
      </c>
      <c r="B40">
        <v>1002</v>
      </c>
      <c r="C40">
        <v>293</v>
      </c>
      <c r="D40">
        <v>972</v>
      </c>
      <c r="E40">
        <v>115</v>
      </c>
      <c r="F40">
        <v>0.33889999999999998</v>
      </c>
      <c r="G40">
        <v>0.45050000000000001</v>
      </c>
      <c r="H40">
        <v>1486</v>
      </c>
      <c r="I40">
        <v>101</v>
      </c>
      <c r="J40">
        <v>3.6819999999999999</v>
      </c>
      <c r="K40">
        <v>1.1879999999999999</v>
      </c>
      <c r="L40">
        <v>3.3639999999999999</v>
      </c>
      <c r="M40">
        <v>58</v>
      </c>
      <c r="P40" s="16" t="s">
        <v>35</v>
      </c>
      <c r="Q40" s="17">
        <f>Q39/13</f>
        <v>81.026700572155121</v>
      </c>
      <c r="R40" s="17">
        <f>R39/13</f>
        <v>23.491332909514728</v>
      </c>
      <c r="S40" s="17">
        <f>S39/13</f>
        <v>78.157151938970131</v>
      </c>
      <c r="T40" s="17">
        <f>T39/13</f>
        <v>14.883407501589321</v>
      </c>
      <c r="U40" s="17">
        <f>U39</f>
        <v>0.33418953168044074</v>
      </c>
      <c r="V40" s="17">
        <f>V39</f>
        <v>0.44459652892561979</v>
      </c>
      <c r="W40" s="17">
        <f>W39/9</f>
        <v>183.67823691460055</v>
      </c>
      <c r="X40" s="17">
        <f>X39/9</f>
        <v>12.668503213957759</v>
      </c>
      <c r="Y40" s="17">
        <f>Y39</f>
        <v>3.5713614325068876</v>
      </c>
      <c r="Z40" s="17">
        <f>Z39</f>
        <v>1.1672192837465565</v>
      </c>
      <c r="AA40" s="17">
        <f>AA39</f>
        <v>3.5161046831955929</v>
      </c>
      <c r="AB40" s="17">
        <f>AB39/9</f>
        <v>13.086746250382614</v>
      </c>
    </row>
    <row r="41" spans="1:28" ht="16.5" thickTop="1" thickBot="1" x14ac:dyDescent="0.3">
      <c r="A41" s="14">
        <v>7</v>
      </c>
      <c r="B41">
        <v>997</v>
      </c>
      <c r="C41">
        <v>292</v>
      </c>
      <c r="D41">
        <v>972</v>
      </c>
      <c r="E41">
        <v>93</v>
      </c>
      <c r="F41">
        <v>0.3357</v>
      </c>
      <c r="G41">
        <v>0.44869999999999999</v>
      </c>
      <c r="H41">
        <v>1486</v>
      </c>
      <c r="I41">
        <v>98</v>
      </c>
      <c r="J41">
        <v>3.8460000000000001</v>
      </c>
      <c r="K41">
        <v>1.1910000000000001</v>
      </c>
      <c r="L41">
        <v>3.2639999999999998</v>
      </c>
      <c r="M41">
        <v>56</v>
      </c>
      <c r="P41" s="1" t="s">
        <v>36</v>
      </c>
      <c r="Q41">
        <f t="shared" ref="Q41:AB41" si="21">_xlfn.QUARTILE.INC(Q3:Q14,1)</f>
        <v>951.22727272727275</v>
      </c>
      <c r="R41">
        <f t="shared" si="21"/>
        <v>259.77272727272725</v>
      </c>
      <c r="S41">
        <f t="shared" si="21"/>
        <v>915.59090909090912</v>
      </c>
      <c r="T41">
        <f t="shared" si="21"/>
        <v>126.88636363636364</v>
      </c>
      <c r="U41">
        <f t="shared" si="21"/>
        <v>0.32218181818181818</v>
      </c>
      <c r="V41">
        <f t="shared" si="21"/>
        <v>0.42529772727272724</v>
      </c>
      <c r="W41">
        <f t="shared" si="21"/>
        <v>1254.7954545454545</v>
      </c>
      <c r="X41">
        <f t="shared" si="21"/>
        <v>86.61363636363636</v>
      </c>
      <c r="Y41">
        <f t="shared" si="21"/>
        <v>3.6460681818181819</v>
      </c>
      <c r="Z41">
        <f t="shared" si="21"/>
        <v>1.1793181818181817</v>
      </c>
      <c r="AA41">
        <f t="shared" si="21"/>
        <v>2.9982272727272732</v>
      </c>
      <c r="AB41">
        <f t="shared" si="21"/>
        <v>76.590909090909093</v>
      </c>
    </row>
    <row r="42" spans="1:28" ht="16.5" thickTop="1" thickBot="1" x14ac:dyDescent="0.3">
      <c r="A42" s="14">
        <v>8</v>
      </c>
      <c r="B42">
        <v>982</v>
      </c>
      <c r="C42">
        <v>281</v>
      </c>
      <c r="D42">
        <v>969</v>
      </c>
      <c r="E42">
        <v>89</v>
      </c>
      <c r="F42">
        <v>0.33510000000000001</v>
      </c>
      <c r="G42">
        <v>0.4471</v>
      </c>
      <c r="H42">
        <v>1443</v>
      </c>
      <c r="I42">
        <v>97</v>
      </c>
      <c r="J42">
        <v>3.919</v>
      </c>
      <c r="K42">
        <v>1.198</v>
      </c>
      <c r="L42">
        <v>3.1890000000000001</v>
      </c>
      <c r="M42">
        <v>48</v>
      </c>
      <c r="P42" s="1" t="s">
        <v>37</v>
      </c>
      <c r="Q42">
        <f t="shared" ref="Q42:AB42" si="22">_xlfn.QUARTILE.INC(Q3:Q14,3)</f>
        <v>1040.568181818182</v>
      </c>
      <c r="R42">
        <f t="shared" si="22"/>
        <v>296.79545454545456</v>
      </c>
      <c r="S42">
        <f t="shared" si="22"/>
        <v>1001.9090909090909</v>
      </c>
      <c r="T42">
        <f t="shared" si="22"/>
        <v>183.5</v>
      </c>
      <c r="U42">
        <f t="shared" si="22"/>
        <v>0.33205000000000001</v>
      </c>
      <c r="V42">
        <f t="shared" si="22"/>
        <v>0.44163409090909084</v>
      </c>
      <c r="W42">
        <f t="shared" si="22"/>
        <v>1601.068181818182</v>
      </c>
      <c r="X42">
        <f t="shared" si="22"/>
        <v>108.93181818181819</v>
      </c>
      <c r="Y42">
        <f t="shared" si="22"/>
        <v>4.0251363636363635</v>
      </c>
      <c r="Z42">
        <f t="shared" si="22"/>
        <v>1.2472045454545455</v>
      </c>
      <c r="AA42">
        <f t="shared" si="22"/>
        <v>3.447159090909091</v>
      </c>
      <c r="AB42">
        <f t="shared" si="22"/>
        <v>112.02272727272728</v>
      </c>
    </row>
    <row r="43" spans="1:28" ht="16.5" thickTop="1" thickBot="1" x14ac:dyDescent="0.3">
      <c r="A43" s="14">
        <v>9</v>
      </c>
      <c r="B43">
        <v>978</v>
      </c>
      <c r="C43">
        <v>277</v>
      </c>
      <c r="D43">
        <v>928</v>
      </c>
      <c r="E43">
        <v>80</v>
      </c>
      <c r="F43">
        <v>0.33460000000000001</v>
      </c>
      <c r="G43">
        <v>0.44640000000000002</v>
      </c>
      <c r="H43">
        <v>1435</v>
      </c>
      <c r="I43">
        <v>94</v>
      </c>
      <c r="J43">
        <v>3.9489999999999998</v>
      </c>
      <c r="K43">
        <v>1.2070000000000001</v>
      </c>
      <c r="L43">
        <v>3.109</v>
      </c>
      <c r="M43">
        <v>23</v>
      </c>
      <c r="P43" s="1" t="s">
        <v>38</v>
      </c>
      <c r="Q43">
        <f>Q42-Q41</f>
        <v>89.340909090909236</v>
      </c>
      <c r="R43">
        <f t="shared" ref="R43:AB43" si="23">R42-R41</f>
        <v>37.022727272727309</v>
      </c>
      <c r="S43">
        <f t="shared" si="23"/>
        <v>86.318181818181756</v>
      </c>
      <c r="T43">
        <f t="shared" si="23"/>
        <v>56.61363636363636</v>
      </c>
      <c r="U43">
        <f t="shared" si="23"/>
        <v>9.8681818181818315E-3</v>
      </c>
      <c r="V43">
        <f t="shared" si="23"/>
        <v>1.6336363636363593E-2</v>
      </c>
      <c r="W43">
        <f t="shared" si="23"/>
        <v>346.27272727272748</v>
      </c>
      <c r="X43">
        <f t="shared" si="23"/>
        <v>22.318181818181827</v>
      </c>
      <c r="Y43">
        <f t="shared" si="23"/>
        <v>0.37906818181818158</v>
      </c>
      <c r="Z43">
        <f t="shared" si="23"/>
        <v>6.78863636363638E-2</v>
      </c>
      <c r="AA43">
        <f t="shared" si="23"/>
        <v>0.44893181818181782</v>
      </c>
      <c r="AB43">
        <f t="shared" si="23"/>
        <v>35.431818181818187</v>
      </c>
    </row>
    <row r="44" spans="1:28" ht="16.5" thickTop="1" thickBot="1" x14ac:dyDescent="0.3">
      <c r="A44" s="14">
        <v>10</v>
      </c>
      <c r="B44">
        <v>966</v>
      </c>
      <c r="C44">
        <v>275</v>
      </c>
      <c r="D44">
        <v>917</v>
      </c>
      <c r="E44">
        <v>73</v>
      </c>
      <c r="F44">
        <v>0.32840000000000003</v>
      </c>
      <c r="G44">
        <v>0.44369999999999998</v>
      </c>
      <c r="H44">
        <v>1239</v>
      </c>
      <c r="I44">
        <v>86</v>
      </c>
      <c r="J44">
        <v>4.0129999999999999</v>
      </c>
      <c r="K44">
        <v>1.2150000000000001</v>
      </c>
      <c r="L44">
        <v>2.988</v>
      </c>
      <c r="M44">
        <v>22</v>
      </c>
      <c r="P44" s="18" t="s">
        <v>39</v>
      </c>
      <c r="Q44">
        <f>Q41-Q43</f>
        <v>861.88636363636351</v>
      </c>
      <c r="R44">
        <f t="shared" ref="R44:AB44" si="24">R41-R43</f>
        <v>222.74999999999994</v>
      </c>
      <c r="S44">
        <f t="shared" si="24"/>
        <v>829.27272727272737</v>
      </c>
      <c r="T44">
        <f t="shared" si="24"/>
        <v>70.27272727272728</v>
      </c>
      <c r="U44">
        <f t="shared" si="24"/>
        <v>0.31231363636363635</v>
      </c>
      <c r="V44">
        <f t="shared" si="24"/>
        <v>0.40896136363636365</v>
      </c>
      <c r="W44">
        <f t="shared" si="24"/>
        <v>908.52272727272702</v>
      </c>
      <c r="X44">
        <f t="shared" si="24"/>
        <v>64.295454545454533</v>
      </c>
      <c r="Y44">
        <f t="shared" si="24"/>
        <v>3.2670000000000003</v>
      </c>
      <c r="Z44">
        <f t="shared" si="24"/>
        <v>1.1114318181818179</v>
      </c>
      <c r="AA44">
        <f t="shared" si="24"/>
        <v>2.5492954545454554</v>
      </c>
      <c r="AB44">
        <f t="shared" si="24"/>
        <v>41.159090909090907</v>
      </c>
    </row>
    <row r="45" spans="1:28" ht="16.5" thickTop="1" thickBot="1" x14ac:dyDescent="0.3">
      <c r="A45" s="14">
        <v>11</v>
      </c>
      <c r="B45">
        <v>871</v>
      </c>
      <c r="C45">
        <v>265</v>
      </c>
      <c r="D45">
        <v>850</v>
      </c>
      <c r="E45">
        <v>61</v>
      </c>
      <c r="F45">
        <v>0.3281</v>
      </c>
      <c r="G45">
        <v>0.43790000000000001</v>
      </c>
      <c r="H45">
        <v>1100</v>
      </c>
      <c r="I45">
        <v>59</v>
      </c>
      <c r="J45">
        <v>4.1269999999999998</v>
      </c>
      <c r="K45">
        <v>1.2210000000000001</v>
      </c>
      <c r="L45">
        <v>2.9790000000000001</v>
      </c>
      <c r="M45">
        <v>12</v>
      </c>
      <c r="P45" s="19" t="s">
        <v>40</v>
      </c>
      <c r="Q45">
        <f>Q42+Q43</f>
        <v>1129.9090909090912</v>
      </c>
      <c r="R45">
        <f t="shared" ref="R45:AB45" si="25">R42+R43</f>
        <v>333.81818181818187</v>
      </c>
      <c r="S45">
        <f t="shared" si="25"/>
        <v>1088.2272727272725</v>
      </c>
      <c r="T45">
        <f t="shared" si="25"/>
        <v>240.11363636363637</v>
      </c>
      <c r="U45">
        <f t="shared" si="25"/>
        <v>0.34191818181818184</v>
      </c>
      <c r="V45">
        <f t="shared" si="25"/>
        <v>0.45797045454545443</v>
      </c>
      <c r="W45">
        <f t="shared" si="25"/>
        <v>1947.3409090909095</v>
      </c>
      <c r="X45">
        <f t="shared" si="25"/>
        <v>131.25</v>
      </c>
      <c r="Y45">
        <f t="shared" si="25"/>
        <v>4.4042045454545455</v>
      </c>
      <c r="Z45">
        <f t="shared" si="25"/>
        <v>1.3150909090909093</v>
      </c>
      <c r="AA45">
        <f t="shared" si="25"/>
        <v>3.8960909090909088</v>
      </c>
      <c r="AB45">
        <f t="shared" si="25"/>
        <v>147.45454545454547</v>
      </c>
    </row>
    <row r="46" spans="1:28" ht="16.5" thickTop="1" thickBot="1" x14ac:dyDescent="0.3">
      <c r="A46" s="14">
        <v>12</v>
      </c>
      <c r="B46">
        <v>838</v>
      </c>
      <c r="C46">
        <v>261</v>
      </c>
      <c r="D46">
        <v>786</v>
      </c>
      <c r="E46">
        <v>48</v>
      </c>
      <c r="F46">
        <v>0.314</v>
      </c>
      <c r="G46">
        <v>0.43190000000000001</v>
      </c>
      <c r="H46">
        <v>977</v>
      </c>
      <c r="I46">
        <v>40</v>
      </c>
      <c r="J46">
        <v>4.53</v>
      </c>
      <c r="K46">
        <v>1.2729999999999999</v>
      </c>
      <c r="L46">
        <v>2.83</v>
      </c>
      <c r="M46">
        <v>0</v>
      </c>
    </row>
    <row r="47" spans="1:28" ht="15.75" thickTop="1" x14ac:dyDescent="0.25">
      <c r="B47">
        <f t="shared" ref="B47:G47" si="26">-1*SLOPE(B36:B45,$A$36:$A$45)</f>
        <v>18.145454545454545</v>
      </c>
      <c r="C47">
        <f t="shared" si="26"/>
        <v>5.872727272727273</v>
      </c>
      <c r="D47">
        <f t="shared" si="26"/>
        <v>15.927272727272728</v>
      </c>
      <c r="E47">
        <f t="shared" si="26"/>
        <v>8.2666666666666675</v>
      </c>
      <c r="F47">
        <f t="shared" si="26"/>
        <v>1.7521212121212083E-3</v>
      </c>
      <c r="G47">
        <f t="shared" si="26"/>
        <v>3.2678787878787901E-3</v>
      </c>
      <c r="H47">
        <f t="shared" ref="H47:M47" si="27">-1*SLOPE(H36:H45,$A$20:$A$29)</f>
        <v>53.472727272727276</v>
      </c>
      <c r="I47">
        <f t="shared" si="27"/>
        <v>5.0666666666666664</v>
      </c>
      <c r="J47">
        <f t="shared" si="27"/>
        <v>-7.4799999999999978E-2</v>
      </c>
      <c r="K47">
        <f t="shared" si="27"/>
        <v>-1.0751515151515166E-2</v>
      </c>
      <c r="L47">
        <f t="shared" si="27"/>
        <v>0.10242424242424242</v>
      </c>
      <c r="M47">
        <f t="shared" si="27"/>
        <v>10.036363636363637</v>
      </c>
    </row>
    <row r="48" spans="1:28" x14ac:dyDescent="0.25">
      <c r="B48">
        <f t="shared" ref="B48:G48" si="28">B47/$D$47</f>
        <v>1.139269406392694</v>
      </c>
      <c r="C48">
        <f t="shared" si="28"/>
        <v>0.36872146118721461</v>
      </c>
      <c r="D48">
        <f t="shared" si="28"/>
        <v>1</v>
      </c>
      <c r="E48">
        <f t="shared" si="28"/>
        <v>0.51902587519025878</v>
      </c>
      <c r="F48">
        <f t="shared" si="28"/>
        <v>1.1000761035007587E-4</v>
      </c>
      <c r="G48">
        <f t="shared" si="28"/>
        <v>2.0517503805175051E-4</v>
      </c>
      <c r="H48">
        <f t="shared" ref="H48:M48" si="29">H47/$H$47</f>
        <v>1</v>
      </c>
      <c r="I48">
        <f t="shared" si="29"/>
        <v>9.4752351807775123E-2</v>
      </c>
      <c r="J48">
        <f t="shared" si="29"/>
        <v>-1.3988439306358376E-3</v>
      </c>
      <c r="K48">
        <f t="shared" si="29"/>
        <v>-2.0106539725716903E-4</v>
      </c>
      <c r="L48">
        <f t="shared" si="29"/>
        <v>1.9154482602289468E-3</v>
      </c>
      <c r="M48">
        <f t="shared" si="29"/>
        <v>0.18769126147568854</v>
      </c>
    </row>
    <row r="50" spans="1:13" ht="15.75" thickBot="1" x14ac:dyDescent="0.3"/>
    <row r="51" spans="1:13" ht="15.75" thickBot="1" x14ac:dyDescent="0.3">
      <c r="A51">
        <v>2024</v>
      </c>
      <c r="B51" s="28" t="s">
        <v>41</v>
      </c>
      <c r="C51" s="28"/>
      <c r="D51" s="28"/>
      <c r="E51" s="28"/>
      <c r="F51" s="28"/>
      <c r="G51" s="28"/>
      <c r="H51" s="28" t="s">
        <v>42</v>
      </c>
      <c r="I51" s="28"/>
      <c r="J51" s="28"/>
      <c r="K51" s="28"/>
      <c r="L51" s="28"/>
      <c r="M51" s="28"/>
    </row>
    <row r="52" spans="1:13" ht="15.75" thickBot="1" x14ac:dyDescent="0.3">
      <c r="B52" s="20" t="s">
        <v>2</v>
      </c>
      <c r="C52" s="20" t="s">
        <v>3</v>
      </c>
      <c r="D52" s="20" t="s">
        <v>4</v>
      </c>
      <c r="E52" s="20" t="s">
        <v>5</v>
      </c>
      <c r="F52" s="20" t="s">
        <v>6</v>
      </c>
      <c r="G52" s="20" t="s">
        <v>7</v>
      </c>
      <c r="H52" s="20" t="s">
        <v>8</v>
      </c>
      <c r="I52" s="20" t="s">
        <v>9</v>
      </c>
      <c r="J52" s="20" t="s">
        <v>10</v>
      </c>
      <c r="K52" s="20" t="s">
        <v>11</v>
      </c>
      <c r="L52" s="20" t="s">
        <v>12</v>
      </c>
      <c r="M52" s="20" t="s">
        <v>13</v>
      </c>
    </row>
    <row r="53" spans="1:13" ht="15.75" thickBot="1" x14ac:dyDescent="0.3">
      <c r="B53" s="21">
        <v>981</v>
      </c>
      <c r="C53" s="21">
        <v>321</v>
      </c>
      <c r="D53" s="21">
        <v>997</v>
      </c>
      <c r="E53" s="21">
        <v>152</v>
      </c>
      <c r="F53" s="21">
        <v>0.33069999999999999</v>
      </c>
      <c r="G53" s="21">
        <v>0.4577</v>
      </c>
      <c r="H53" s="21">
        <v>1778</v>
      </c>
      <c r="I53" s="21">
        <v>133</v>
      </c>
      <c r="J53" s="21">
        <v>3.4460000000000002</v>
      </c>
      <c r="K53" s="21">
        <v>1.159</v>
      </c>
      <c r="L53" s="21">
        <v>3.4129999999999998</v>
      </c>
      <c r="M53" s="21">
        <v>123</v>
      </c>
    </row>
    <row r="54" spans="1:13" ht="15.75" thickBot="1" x14ac:dyDescent="0.3">
      <c r="B54" s="22">
        <v>1084</v>
      </c>
      <c r="C54" s="22">
        <v>355</v>
      </c>
      <c r="D54" s="22">
        <v>1091</v>
      </c>
      <c r="E54" s="22">
        <v>85</v>
      </c>
      <c r="F54" s="22">
        <v>0.33950000000000002</v>
      </c>
      <c r="G54" s="22">
        <v>0.4476</v>
      </c>
      <c r="H54" s="22">
        <v>1666</v>
      </c>
      <c r="I54" s="22">
        <v>108</v>
      </c>
      <c r="J54" s="22">
        <v>3.621</v>
      </c>
      <c r="K54" s="22">
        <v>1.1499999999999999</v>
      </c>
      <c r="L54" s="22">
        <v>4.1440000000000001</v>
      </c>
      <c r="M54" s="22">
        <v>112</v>
      </c>
    </row>
    <row r="55" spans="1:13" ht="15.75" thickBot="1" x14ac:dyDescent="0.3">
      <c r="B55" s="21">
        <v>969</v>
      </c>
      <c r="C55" s="21">
        <v>279</v>
      </c>
      <c r="D55" s="21">
        <v>941</v>
      </c>
      <c r="E55" s="21">
        <v>111</v>
      </c>
      <c r="F55" s="21">
        <v>0.31969999999999998</v>
      </c>
      <c r="G55" s="21">
        <v>0.4214</v>
      </c>
      <c r="H55" s="21">
        <v>1942</v>
      </c>
      <c r="I55" s="21">
        <v>155</v>
      </c>
      <c r="J55" s="21">
        <v>3.3530000000000002</v>
      </c>
      <c r="K55" s="21">
        <v>1.1399999999999999</v>
      </c>
      <c r="L55" s="21">
        <v>3.6230000000000002</v>
      </c>
      <c r="M55" s="21">
        <v>116</v>
      </c>
    </row>
    <row r="56" spans="1:13" ht="15.75" thickBot="1" x14ac:dyDescent="0.3">
      <c r="B56" s="21">
        <v>1015</v>
      </c>
      <c r="C56" s="21">
        <v>238</v>
      </c>
      <c r="D56" s="21">
        <v>905</v>
      </c>
      <c r="E56" s="21">
        <v>242</v>
      </c>
      <c r="F56" s="21">
        <v>0.314</v>
      </c>
      <c r="G56" s="21">
        <v>0.40739999999999998</v>
      </c>
      <c r="H56" s="21">
        <v>1357</v>
      </c>
      <c r="I56" s="21">
        <v>98</v>
      </c>
      <c r="J56" s="21">
        <v>4.0110000000000001</v>
      </c>
      <c r="K56" s="21">
        <v>1.204</v>
      </c>
      <c r="L56" s="21">
        <v>3.0289999999999999</v>
      </c>
      <c r="M56" s="21">
        <v>115</v>
      </c>
    </row>
    <row r="57" spans="1:13" ht="15.75" thickBot="1" x14ac:dyDescent="0.3">
      <c r="B57" s="21">
        <v>1049</v>
      </c>
      <c r="C57" s="21">
        <v>295</v>
      </c>
      <c r="D57" s="21">
        <v>1007</v>
      </c>
      <c r="E57" s="21">
        <v>177</v>
      </c>
      <c r="F57" s="21">
        <v>0.32640000000000002</v>
      </c>
      <c r="G57" s="21">
        <v>0.43430000000000002</v>
      </c>
      <c r="H57" s="21">
        <v>1419</v>
      </c>
      <c r="I57" s="21">
        <v>83</v>
      </c>
      <c r="J57" s="21">
        <v>4.1109999999999998</v>
      </c>
      <c r="K57" s="21">
        <v>1.2709999999999999</v>
      </c>
      <c r="L57" s="21">
        <v>3.21</v>
      </c>
      <c r="M57" s="21">
        <v>127</v>
      </c>
    </row>
    <row r="58" spans="1:13" ht="15.75" thickBot="1" x14ac:dyDescent="0.3">
      <c r="B58" s="21">
        <v>1065</v>
      </c>
      <c r="C58" s="21">
        <v>249</v>
      </c>
      <c r="D58" s="21">
        <v>975</v>
      </c>
      <c r="E58" s="21">
        <v>250</v>
      </c>
      <c r="F58" s="21">
        <v>0.32369999999999999</v>
      </c>
      <c r="G58" s="21">
        <v>0.4234</v>
      </c>
      <c r="H58" s="21">
        <v>1278</v>
      </c>
      <c r="I58" s="21">
        <v>79</v>
      </c>
      <c r="J58" s="21">
        <v>3.9569999999999999</v>
      </c>
      <c r="K58" s="21">
        <v>1.2689999999999999</v>
      </c>
      <c r="L58" s="21">
        <v>2.766</v>
      </c>
      <c r="M58" s="21">
        <v>87</v>
      </c>
    </row>
    <row r="59" spans="1:13" ht="15.75" thickBot="1" x14ac:dyDescent="0.3">
      <c r="B59" s="21">
        <v>930</v>
      </c>
      <c r="C59" s="21">
        <v>244</v>
      </c>
      <c r="D59" s="21">
        <v>939</v>
      </c>
      <c r="E59" s="21">
        <v>132</v>
      </c>
      <c r="F59" s="21">
        <v>0.31569999999999998</v>
      </c>
      <c r="G59" s="21">
        <v>0.41880000000000001</v>
      </c>
      <c r="H59" s="21">
        <v>1422</v>
      </c>
      <c r="I59" s="21">
        <v>103</v>
      </c>
      <c r="J59" s="21">
        <v>3.6739999999999999</v>
      </c>
      <c r="K59" s="21">
        <v>1.1739999999999999</v>
      </c>
      <c r="L59" s="21">
        <v>3.2170000000000001</v>
      </c>
      <c r="M59" s="21">
        <v>116</v>
      </c>
    </row>
    <row r="60" spans="1:13" ht="15.75" thickBot="1" x14ac:dyDescent="0.3">
      <c r="B60" s="21">
        <v>1070</v>
      </c>
      <c r="C60" s="21">
        <v>295</v>
      </c>
      <c r="D60" s="21">
        <v>985</v>
      </c>
      <c r="E60" s="21">
        <v>193</v>
      </c>
      <c r="F60" s="21">
        <v>0.33350000000000002</v>
      </c>
      <c r="G60" s="21">
        <v>0.43619999999999998</v>
      </c>
      <c r="H60" s="21">
        <v>1598</v>
      </c>
      <c r="I60" s="21">
        <v>113</v>
      </c>
      <c r="J60" s="21">
        <v>4.28</v>
      </c>
      <c r="K60" s="21">
        <v>1.272</v>
      </c>
      <c r="L60" s="21">
        <v>2.9809999999999999</v>
      </c>
      <c r="M60" s="21">
        <v>77</v>
      </c>
    </row>
    <row r="61" spans="1:13" ht="15.75" thickBot="1" x14ac:dyDescent="0.3">
      <c r="B61" s="21">
        <v>976</v>
      </c>
      <c r="C61" s="21">
        <v>285</v>
      </c>
      <c r="D61" s="21">
        <v>951</v>
      </c>
      <c r="E61" s="21">
        <v>134</v>
      </c>
      <c r="F61" s="21">
        <v>0.32329999999999998</v>
      </c>
      <c r="G61" s="21">
        <v>0.44069999999999998</v>
      </c>
      <c r="H61" s="21">
        <v>874</v>
      </c>
      <c r="I61" s="21">
        <v>56</v>
      </c>
      <c r="J61" s="21">
        <v>4.1289999999999996</v>
      </c>
      <c r="K61" s="21">
        <v>1.272</v>
      </c>
      <c r="L61" s="21">
        <v>2.5329999999999999</v>
      </c>
      <c r="M61" s="21">
        <v>60</v>
      </c>
    </row>
    <row r="62" spans="1:13" ht="15.75" thickBot="1" x14ac:dyDescent="0.3">
      <c r="B62" s="21">
        <v>908</v>
      </c>
      <c r="C62" s="21">
        <v>203</v>
      </c>
      <c r="D62" s="21">
        <v>889</v>
      </c>
      <c r="E62" s="21">
        <v>158</v>
      </c>
      <c r="F62" s="21">
        <v>0.32969999999999999</v>
      </c>
      <c r="G62" s="21">
        <v>0.4017</v>
      </c>
      <c r="H62" s="21">
        <v>1192</v>
      </c>
      <c r="I62" s="21">
        <v>77</v>
      </c>
      <c r="J62" s="21">
        <v>3.802</v>
      </c>
      <c r="K62" s="21">
        <v>1.133</v>
      </c>
      <c r="L62" s="21">
        <v>3.883</v>
      </c>
      <c r="M62" s="21">
        <v>120</v>
      </c>
    </row>
    <row r="63" spans="1:13" ht="15.75" thickBot="1" x14ac:dyDescent="0.3">
      <c r="B63" s="21">
        <v>919</v>
      </c>
      <c r="C63" s="21">
        <v>270</v>
      </c>
      <c r="D63" s="21">
        <v>871</v>
      </c>
      <c r="E63" s="21">
        <v>242</v>
      </c>
      <c r="F63" s="21">
        <v>0.31540000000000001</v>
      </c>
      <c r="G63" s="21">
        <v>0.41739999999999999</v>
      </c>
      <c r="H63" s="21">
        <v>1453</v>
      </c>
      <c r="I63" s="21">
        <v>101</v>
      </c>
      <c r="J63" s="21">
        <v>3.7610000000000001</v>
      </c>
      <c r="K63" s="21">
        <v>1.1779999999999999</v>
      </c>
      <c r="L63" s="21">
        <v>3.34</v>
      </c>
      <c r="M63" s="21">
        <v>93</v>
      </c>
    </row>
    <row r="64" spans="1:13" ht="15.75" thickBot="1" x14ac:dyDescent="0.3">
      <c r="B64" s="23">
        <v>907</v>
      </c>
      <c r="C64" s="23">
        <v>251</v>
      </c>
      <c r="D64" s="23">
        <v>846</v>
      </c>
      <c r="E64" s="23">
        <v>125</v>
      </c>
      <c r="F64" s="23">
        <v>0.31359999999999999</v>
      </c>
      <c r="G64" s="23">
        <v>0.41410000000000002</v>
      </c>
      <c r="H64" s="23">
        <v>1231</v>
      </c>
      <c r="I64" s="23">
        <v>70</v>
      </c>
      <c r="J64" s="23">
        <v>3.379</v>
      </c>
      <c r="K64" s="23">
        <v>1.1040000000000001</v>
      </c>
      <c r="L64" s="23">
        <v>3.6419999999999999</v>
      </c>
      <c r="M64" s="23">
        <v>94</v>
      </c>
    </row>
    <row r="65" spans="1:13" ht="15.75" thickBot="1" x14ac:dyDescent="0.3">
      <c r="A65">
        <v>2024</v>
      </c>
      <c r="B65" s="20" t="s">
        <v>2</v>
      </c>
      <c r="C65" s="20" t="s">
        <v>3</v>
      </c>
      <c r="D65" s="20" t="s">
        <v>4</v>
      </c>
      <c r="E65" s="20" t="s">
        <v>5</v>
      </c>
      <c r="F65" s="20" t="s">
        <v>6</v>
      </c>
      <c r="G65" s="20" t="s">
        <v>7</v>
      </c>
      <c r="H65" s="20" t="s">
        <v>8</v>
      </c>
      <c r="I65" s="20" t="s">
        <v>9</v>
      </c>
      <c r="J65" s="20" t="s">
        <v>10</v>
      </c>
      <c r="K65" s="20" t="s">
        <v>11</v>
      </c>
      <c r="L65" s="20" t="s">
        <v>12</v>
      </c>
      <c r="M65" s="20" t="s">
        <v>13</v>
      </c>
    </row>
    <row r="66" spans="1:13" x14ac:dyDescent="0.25">
      <c r="B66" cm="1">
        <f t="array" ref="B66:B77">_xlfn._xlws.SORT(B53:B64,,-1)</f>
        <v>1084</v>
      </c>
      <c r="C66" cm="1">
        <f t="array" ref="C66:C77">_xlfn._xlws.SORT(C53:C64,,-1)</f>
        <v>355</v>
      </c>
      <c r="D66" cm="1">
        <f t="array" ref="D66:D77">_xlfn._xlws.SORT(D53:D64,,-1)</f>
        <v>1091</v>
      </c>
      <c r="E66" cm="1">
        <f t="array" ref="E66:E77">_xlfn._xlws.SORT(E53:E64,,-1)</f>
        <v>250</v>
      </c>
      <c r="F66" cm="1">
        <f t="array" ref="F66:F77">_xlfn._xlws.SORT(F53:F64,,-1)</f>
        <v>0.33950000000000002</v>
      </c>
      <c r="G66" cm="1">
        <f t="array" ref="G66:G77">_xlfn._xlws.SORT(G53:G64,,-1)</f>
        <v>0.4577</v>
      </c>
      <c r="H66" cm="1">
        <f t="array" ref="H66:H77">_xlfn._xlws.SORT(H53:H64,,-1)</f>
        <v>1942</v>
      </c>
      <c r="I66" cm="1">
        <f t="array" ref="I66:I77">_xlfn._xlws.SORT(I53:I64,,-1)</f>
        <v>155</v>
      </c>
      <c r="J66" cm="1">
        <f t="array" ref="J66:J77">_xlfn._xlws.SORT(J53:J64,,1)</f>
        <v>3.3530000000000002</v>
      </c>
      <c r="K66" cm="1">
        <f t="array" ref="K66:K77">_xlfn._xlws.SORT(K53:K64,,1)</f>
        <v>1.1040000000000001</v>
      </c>
      <c r="L66" cm="1">
        <f t="array" ref="L66:L77">_xlfn._xlws.SORT(L53:L64,,-1)</f>
        <v>4.1440000000000001</v>
      </c>
      <c r="M66" cm="1">
        <f t="array" ref="M66:M77">_xlfn._xlws.SORT(M53:M64,,-1)</f>
        <v>127</v>
      </c>
    </row>
    <row r="67" spans="1:13" x14ac:dyDescent="0.25">
      <c r="B67">
        <v>1070</v>
      </c>
      <c r="C67">
        <v>321</v>
      </c>
      <c r="D67">
        <v>1007</v>
      </c>
      <c r="E67">
        <v>242</v>
      </c>
      <c r="F67">
        <v>0.33350000000000002</v>
      </c>
      <c r="G67">
        <v>0.4476</v>
      </c>
      <c r="H67">
        <v>1778</v>
      </c>
      <c r="I67">
        <v>133</v>
      </c>
      <c r="J67">
        <v>3.379</v>
      </c>
      <c r="K67">
        <v>1.133</v>
      </c>
      <c r="L67">
        <v>3.883</v>
      </c>
      <c r="M67">
        <v>123</v>
      </c>
    </row>
    <row r="68" spans="1:13" x14ac:dyDescent="0.25">
      <c r="B68">
        <v>1065</v>
      </c>
      <c r="C68">
        <v>295</v>
      </c>
      <c r="D68">
        <v>997</v>
      </c>
      <c r="E68">
        <v>242</v>
      </c>
      <c r="F68">
        <v>0.33069999999999999</v>
      </c>
      <c r="G68">
        <v>0.44069999999999998</v>
      </c>
      <c r="H68">
        <v>1666</v>
      </c>
      <c r="I68">
        <v>113</v>
      </c>
      <c r="J68">
        <v>3.4460000000000002</v>
      </c>
      <c r="K68">
        <v>1.1399999999999999</v>
      </c>
      <c r="L68">
        <v>3.6419999999999999</v>
      </c>
      <c r="M68">
        <v>120</v>
      </c>
    </row>
    <row r="69" spans="1:13" x14ac:dyDescent="0.25">
      <c r="B69">
        <v>1049</v>
      </c>
      <c r="C69">
        <v>295</v>
      </c>
      <c r="D69">
        <v>985</v>
      </c>
      <c r="E69">
        <v>193</v>
      </c>
      <c r="F69">
        <v>0.32969999999999999</v>
      </c>
      <c r="G69">
        <v>0.43619999999999998</v>
      </c>
      <c r="H69">
        <v>1598</v>
      </c>
      <c r="I69">
        <v>108</v>
      </c>
      <c r="J69">
        <v>3.621</v>
      </c>
      <c r="K69">
        <v>1.1499999999999999</v>
      </c>
      <c r="L69">
        <v>3.6230000000000002</v>
      </c>
      <c r="M69">
        <v>116</v>
      </c>
    </row>
    <row r="70" spans="1:13" x14ac:dyDescent="0.25">
      <c r="B70">
        <v>1015</v>
      </c>
      <c r="C70">
        <v>285</v>
      </c>
      <c r="D70">
        <v>975</v>
      </c>
      <c r="E70">
        <v>177</v>
      </c>
      <c r="F70">
        <v>0.32640000000000002</v>
      </c>
      <c r="G70">
        <v>0.43430000000000002</v>
      </c>
      <c r="H70">
        <v>1453</v>
      </c>
      <c r="I70">
        <v>103</v>
      </c>
      <c r="J70">
        <v>3.6739999999999999</v>
      </c>
      <c r="K70">
        <v>1.159</v>
      </c>
      <c r="L70">
        <v>3.4129999999999998</v>
      </c>
      <c r="M70">
        <v>116</v>
      </c>
    </row>
    <row r="71" spans="1:13" x14ac:dyDescent="0.25">
      <c r="B71">
        <v>981</v>
      </c>
      <c r="C71">
        <v>279</v>
      </c>
      <c r="D71">
        <v>951</v>
      </c>
      <c r="E71">
        <v>158</v>
      </c>
      <c r="F71">
        <v>0.32369999999999999</v>
      </c>
      <c r="G71">
        <v>0.4234</v>
      </c>
      <c r="H71">
        <v>1422</v>
      </c>
      <c r="I71">
        <v>101</v>
      </c>
      <c r="J71">
        <v>3.7610000000000001</v>
      </c>
      <c r="K71">
        <v>1.1739999999999999</v>
      </c>
      <c r="L71">
        <v>3.34</v>
      </c>
      <c r="M71">
        <v>115</v>
      </c>
    </row>
    <row r="72" spans="1:13" x14ac:dyDescent="0.25">
      <c r="B72">
        <v>976</v>
      </c>
      <c r="C72">
        <v>270</v>
      </c>
      <c r="D72">
        <v>941</v>
      </c>
      <c r="E72">
        <v>152</v>
      </c>
      <c r="F72">
        <v>0.32329999999999998</v>
      </c>
      <c r="G72">
        <v>0.4214</v>
      </c>
      <c r="H72">
        <v>1419</v>
      </c>
      <c r="I72">
        <v>98</v>
      </c>
      <c r="J72">
        <v>3.802</v>
      </c>
      <c r="K72">
        <v>1.1779999999999999</v>
      </c>
      <c r="L72">
        <v>3.2170000000000001</v>
      </c>
      <c r="M72">
        <v>112</v>
      </c>
    </row>
    <row r="73" spans="1:13" x14ac:dyDescent="0.25">
      <c r="B73">
        <v>969</v>
      </c>
      <c r="C73">
        <v>251</v>
      </c>
      <c r="D73">
        <v>939</v>
      </c>
      <c r="E73">
        <v>134</v>
      </c>
      <c r="F73">
        <v>0.31969999999999998</v>
      </c>
      <c r="G73">
        <v>0.41880000000000001</v>
      </c>
      <c r="H73">
        <v>1357</v>
      </c>
      <c r="I73">
        <v>83</v>
      </c>
      <c r="J73">
        <v>3.9569999999999999</v>
      </c>
      <c r="K73">
        <v>1.204</v>
      </c>
      <c r="L73">
        <v>3.21</v>
      </c>
      <c r="M73">
        <v>94</v>
      </c>
    </row>
    <row r="74" spans="1:13" x14ac:dyDescent="0.25">
      <c r="B74">
        <v>930</v>
      </c>
      <c r="C74">
        <v>249</v>
      </c>
      <c r="D74">
        <v>905</v>
      </c>
      <c r="E74">
        <v>132</v>
      </c>
      <c r="F74">
        <v>0.31569999999999998</v>
      </c>
      <c r="G74">
        <v>0.41739999999999999</v>
      </c>
      <c r="H74">
        <v>1278</v>
      </c>
      <c r="I74">
        <v>79</v>
      </c>
      <c r="J74">
        <v>4.0110000000000001</v>
      </c>
      <c r="K74">
        <v>1.2689999999999999</v>
      </c>
      <c r="L74">
        <v>3.0289999999999999</v>
      </c>
      <c r="M74">
        <v>93</v>
      </c>
    </row>
    <row r="75" spans="1:13" x14ac:dyDescent="0.25">
      <c r="B75">
        <v>919</v>
      </c>
      <c r="C75">
        <v>244</v>
      </c>
      <c r="D75">
        <v>889</v>
      </c>
      <c r="E75">
        <v>125</v>
      </c>
      <c r="F75">
        <v>0.31540000000000001</v>
      </c>
      <c r="G75">
        <v>0.41410000000000002</v>
      </c>
      <c r="H75">
        <v>1231</v>
      </c>
      <c r="I75">
        <v>77</v>
      </c>
      <c r="J75">
        <v>4.1109999999999998</v>
      </c>
      <c r="K75">
        <v>1.2709999999999999</v>
      </c>
      <c r="L75">
        <v>2.9809999999999999</v>
      </c>
      <c r="M75">
        <v>87</v>
      </c>
    </row>
    <row r="76" spans="1:13" x14ac:dyDescent="0.25">
      <c r="B76">
        <v>908</v>
      </c>
      <c r="C76">
        <v>238</v>
      </c>
      <c r="D76">
        <v>871</v>
      </c>
      <c r="E76">
        <v>111</v>
      </c>
      <c r="F76">
        <v>0.314</v>
      </c>
      <c r="G76">
        <v>0.40739999999999998</v>
      </c>
      <c r="H76">
        <v>1192</v>
      </c>
      <c r="I76">
        <v>70</v>
      </c>
      <c r="J76">
        <v>4.1289999999999996</v>
      </c>
      <c r="K76">
        <v>1.272</v>
      </c>
      <c r="L76">
        <v>2.766</v>
      </c>
      <c r="M76">
        <v>77</v>
      </c>
    </row>
    <row r="77" spans="1:13" x14ac:dyDescent="0.25">
      <c r="B77">
        <v>907</v>
      </c>
      <c r="C77">
        <v>203</v>
      </c>
      <c r="D77">
        <v>846</v>
      </c>
      <c r="E77">
        <v>85</v>
      </c>
      <c r="F77">
        <v>0.31359999999999999</v>
      </c>
      <c r="G77">
        <v>0.4017</v>
      </c>
      <c r="H77">
        <v>874</v>
      </c>
      <c r="I77">
        <v>56</v>
      </c>
      <c r="J77">
        <v>4.28</v>
      </c>
      <c r="K77">
        <v>1.272</v>
      </c>
      <c r="L77">
        <v>2.5329999999999999</v>
      </c>
      <c r="M77">
        <v>60</v>
      </c>
    </row>
    <row r="79" spans="1:13" ht="15.75" thickBot="1" x14ac:dyDescent="0.3"/>
    <row r="80" spans="1:13" ht="15.75" thickBot="1" x14ac:dyDescent="0.3">
      <c r="A80">
        <v>2025</v>
      </c>
      <c r="B80" s="29" t="s">
        <v>41</v>
      </c>
      <c r="C80" s="29"/>
      <c r="D80" s="29"/>
      <c r="E80" s="29"/>
      <c r="F80" s="29"/>
      <c r="G80" s="29"/>
      <c r="H80" s="29" t="s">
        <v>42</v>
      </c>
      <c r="I80" s="29"/>
      <c r="J80" s="29"/>
      <c r="K80" s="29"/>
      <c r="L80" s="29"/>
      <c r="M80" s="29"/>
    </row>
    <row r="81" spans="1:13" ht="15.75" thickBot="1" x14ac:dyDescent="0.3">
      <c r="B81" s="24" t="s">
        <v>2</v>
      </c>
      <c r="C81" s="24" t="s">
        <v>3</v>
      </c>
      <c r="D81" s="24" t="s">
        <v>4</v>
      </c>
      <c r="E81" s="24" t="s">
        <v>5</v>
      </c>
      <c r="F81" s="24" t="s">
        <v>6</v>
      </c>
      <c r="G81" s="24" t="s">
        <v>7</v>
      </c>
      <c r="H81" s="24" t="s">
        <v>8</v>
      </c>
      <c r="I81" s="24" t="s">
        <v>9</v>
      </c>
      <c r="J81" s="24" t="s">
        <v>10</v>
      </c>
      <c r="K81" s="24" t="s">
        <v>11</v>
      </c>
      <c r="L81" s="24" t="s">
        <v>12</v>
      </c>
      <c r="M81" s="24" t="s">
        <v>13</v>
      </c>
    </row>
    <row r="82" spans="1:13" ht="15.75" thickBot="1" x14ac:dyDescent="0.3">
      <c r="B82" s="25">
        <v>1010</v>
      </c>
      <c r="C82" s="25">
        <v>290</v>
      </c>
      <c r="D82" s="25">
        <v>1004</v>
      </c>
      <c r="E82" s="25">
        <v>217</v>
      </c>
      <c r="F82" s="25">
        <v>0.31259999999999999</v>
      </c>
      <c r="G82" s="25">
        <v>0.432</v>
      </c>
      <c r="H82" s="25">
        <v>1627</v>
      </c>
      <c r="I82" s="25">
        <v>105</v>
      </c>
      <c r="J82" s="25">
        <v>3.7679999999999998</v>
      </c>
      <c r="K82" s="25">
        <v>1.222</v>
      </c>
      <c r="L82" s="25">
        <v>2.8439999999999999</v>
      </c>
      <c r="M82" s="25">
        <v>103</v>
      </c>
    </row>
    <row r="83" spans="1:13" ht="15.75" thickBot="1" x14ac:dyDescent="0.3">
      <c r="B83" s="25">
        <v>1045</v>
      </c>
      <c r="C83" s="25">
        <v>264</v>
      </c>
      <c r="D83" s="25">
        <v>949</v>
      </c>
      <c r="E83" s="25">
        <v>181</v>
      </c>
      <c r="F83" s="25">
        <v>0.33779999999999999</v>
      </c>
      <c r="G83" s="25">
        <v>0.4325</v>
      </c>
      <c r="H83" s="25">
        <v>1534</v>
      </c>
      <c r="I83" s="25">
        <v>98</v>
      </c>
      <c r="J83" s="25">
        <v>3.7229999999999999</v>
      </c>
      <c r="K83" s="25">
        <v>1.177</v>
      </c>
      <c r="L83" s="25">
        <v>3.306</v>
      </c>
      <c r="M83" s="25">
        <v>114</v>
      </c>
    </row>
    <row r="84" spans="1:13" ht="15.75" thickBot="1" x14ac:dyDescent="0.3">
      <c r="B84" s="25">
        <v>961</v>
      </c>
      <c r="C84" s="25">
        <v>261</v>
      </c>
      <c r="D84" s="25">
        <v>908</v>
      </c>
      <c r="E84" s="25">
        <v>225</v>
      </c>
      <c r="F84" s="25">
        <v>0.32529999999999998</v>
      </c>
      <c r="G84" s="25">
        <v>0.42009999999999997</v>
      </c>
      <c r="H84" s="25">
        <v>1424</v>
      </c>
      <c r="I84" s="25">
        <v>97</v>
      </c>
      <c r="J84" s="25">
        <v>4.141</v>
      </c>
      <c r="K84" s="25">
        <v>1.2450000000000001</v>
      </c>
      <c r="L84" s="25">
        <v>3.1429999999999998</v>
      </c>
      <c r="M84" s="25">
        <v>78</v>
      </c>
    </row>
    <row r="85" spans="1:13" ht="15.75" thickBot="1" x14ac:dyDescent="0.3">
      <c r="B85" s="25">
        <v>1024</v>
      </c>
      <c r="C85" s="25">
        <v>294</v>
      </c>
      <c r="D85" s="25">
        <v>979</v>
      </c>
      <c r="E85" s="25">
        <v>157</v>
      </c>
      <c r="F85" s="25">
        <v>0.34239999999999998</v>
      </c>
      <c r="G85" s="25">
        <v>0.44500000000000001</v>
      </c>
      <c r="H85" s="25">
        <v>1717</v>
      </c>
      <c r="I85" s="25">
        <v>111</v>
      </c>
      <c r="J85" s="25">
        <v>3.7349999999999999</v>
      </c>
      <c r="K85" s="25">
        <v>1.2190000000000001</v>
      </c>
      <c r="L85" s="25">
        <v>2.7559999999999998</v>
      </c>
      <c r="M85" s="25">
        <v>121</v>
      </c>
    </row>
    <row r="86" spans="1:13" ht="15.75" thickBot="1" x14ac:dyDescent="0.3">
      <c r="B86" s="25">
        <v>1049</v>
      </c>
      <c r="C86" s="25">
        <v>279</v>
      </c>
      <c r="D86" s="25">
        <v>982</v>
      </c>
      <c r="E86" s="25">
        <v>167</v>
      </c>
      <c r="F86" s="25">
        <v>0.32379999999999998</v>
      </c>
      <c r="G86" s="25">
        <v>0.42559999999999998</v>
      </c>
      <c r="H86" s="25">
        <v>1453</v>
      </c>
      <c r="I86" s="25">
        <v>92</v>
      </c>
      <c r="J86" s="25">
        <v>3.6480000000000001</v>
      </c>
      <c r="K86" s="25">
        <v>1.2050000000000001</v>
      </c>
      <c r="L86" s="25">
        <v>2.996</v>
      </c>
      <c r="M86" s="25">
        <v>81</v>
      </c>
    </row>
    <row r="87" spans="1:13" ht="15.75" thickBot="1" x14ac:dyDescent="0.3">
      <c r="B87" s="26">
        <v>1031</v>
      </c>
      <c r="C87" s="26">
        <v>336</v>
      </c>
      <c r="D87" s="26">
        <v>1077</v>
      </c>
      <c r="E87" s="26">
        <v>68</v>
      </c>
      <c r="F87" s="26">
        <v>0.32269999999999999</v>
      </c>
      <c r="G87" s="26">
        <v>0.44169999999999998</v>
      </c>
      <c r="H87" s="26">
        <v>1679</v>
      </c>
      <c r="I87" s="26">
        <v>106</v>
      </c>
      <c r="J87" s="26">
        <v>3.73</v>
      </c>
      <c r="K87" s="26">
        <v>1.2050000000000001</v>
      </c>
      <c r="L87" s="26">
        <v>3.476</v>
      </c>
      <c r="M87" s="26">
        <v>87</v>
      </c>
    </row>
    <row r="88" spans="1:13" ht="15.75" thickBot="1" x14ac:dyDescent="0.3">
      <c r="B88" s="25">
        <v>1008</v>
      </c>
      <c r="C88" s="25">
        <v>290</v>
      </c>
      <c r="D88" s="25">
        <v>944</v>
      </c>
      <c r="E88" s="25">
        <v>121</v>
      </c>
      <c r="F88" s="25">
        <v>0.3266</v>
      </c>
      <c r="G88" s="25">
        <v>0.44090000000000001</v>
      </c>
      <c r="H88" s="25">
        <v>1504</v>
      </c>
      <c r="I88" s="25">
        <v>94</v>
      </c>
      <c r="J88" s="25">
        <v>4.266</v>
      </c>
      <c r="K88" s="25">
        <v>1.2589999999999999</v>
      </c>
      <c r="L88" s="25">
        <v>2.972</v>
      </c>
      <c r="M88" s="25">
        <v>108</v>
      </c>
    </row>
    <row r="89" spans="1:13" ht="15.75" thickBot="1" x14ac:dyDescent="0.3">
      <c r="B89" s="25">
        <v>917</v>
      </c>
      <c r="C89" s="25">
        <v>263</v>
      </c>
      <c r="D89" s="25">
        <v>899</v>
      </c>
      <c r="E89" s="25">
        <v>143</v>
      </c>
      <c r="F89" s="25">
        <v>0.32050000000000001</v>
      </c>
      <c r="G89" s="25">
        <v>0.43090000000000001</v>
      </c>
      <c r="H89" s="25">
        <v>1171</v>
      </c>
      <c r="I89" s="25">
        <v>80</v>
      </c>
      <c r="J89" s="25">
        <v>3.867</v>
      </c>
      <c r="K89" s="25">
        <v>1.2130000000000001</v>
      </c>
      <c r="L89" s="25">
        <v>3.165</v>
      </c>
      <c r="M89" s="25">
        <v>124</v>
      </c>
    </row>
    <row r="90" spans="1:13" ht="15.75" thickBot="1" x14ac:dyDescent="0.3">
      <c r="B90" s="25">
        <v>1016</v>
      </c>
      <c r="C90" s="25">
        <v>329</v>
      </c>
      <c r="D90" s="25">
        <v>1029</v>
      </c>
      <c r="E90" s="25">
        <v>193</v>
      </c>
      <c r="F90" s="25">
        <v>0.33189999999999997</v>
      </c>
      <c r="G90" s="25">
        <v>0.46010000000000001</v>
      </c>
      <c r="H90" s="25">
        <v>1148</v>
      </c>
      <c r="I90" s="25">
        <v>63</v>
      </c>
      <c r="J90" s="25">
        <v>3.7029999999999998</v>
      </c>
      <c r="K90" s="25">
        <v>1.228</v>
      </c>
      <c r="L90" s="25">
        <v>3.1030000000000002</v>
      </c>
      <c r="M90" s="25">
        <v>110</v>
      </c>
    </row>
    <row r="91" spans="1:13" ht="15.75" thickBot="1" x14ac:dyDescent="0.3">
      <c r="B91" s="25">
        <v>931</v>
      </c>
      <c r="C91" s="25">
        <v>257</v>
      </c>
      <c r="D91" s="25">
        <v>856</v>
      </c>
      <c r="E91" s="25">
        <v>190</v>
      </c>
      <c r="F91" s="25">
        <v>0.32279999999999998</v>
      </c>
      <c r="G91" s="25">
        <v>0.41070000000000001</v>
      </c>
      <c r="H91" s="25">
        <v>1181</v>
      </c>
      <c r="I91" s="25">
        <v>91</v>
      </c>
      <c r="J91" s="25">
        <v>4.0979999999999999</v>
      </c>
      <c r="K91" s="25">
        <v>1.24</v>
      </c>
      <c r="L91" s="25">
        <v>2.601</v>
      </c>
      <c r="M91" s="25">
        <v>71</v>
      </c>
    </row>
    <row r="92" spans="1:13" ht="15.75" thickBot="1" x14ac:dyDescent="0.3">
      <c r="B92" s="25">
        <v>889</v>
      </c>
      <c r="C92" s="25">
        <v>259</v>
      </c>
      <c r="D92" s="25">
        <v>891</v>
      </c>
      <c r="E92" s="25">
        <v>102</v>
      </c>
      <c r="F92" s="25">
        <v>0.32729999999999998</v>
      </c>
      <c r="G92" s="25">
        <v>0.43070000000000003</v>
      </c>
      <c r="H92" s="25">
        <v>1595</v>
      </c>
      <c r="I92" s="25">
        <v>120</v>
      </c>
      <c r="J92" s="25">
        <v>3.3319999999999999</v>
      </c>
      <c r="K92" s="25">
        <v>1.141</v>
      </c>
      <c r="L92" s="25">
        <v>3.282</v>
      </c>
      <c r="M92" s="25">
        <v>81</v>
      </c>
    </row>
    <row r="93" spans="1:13" ht="15.75" thickBot="1" x14ac:dyDescent="0.3">
      <c r="B93" s="27">
        <v>852</v>
      </c>
      <c r="C93" s="27">
        <v>188</v>
      </c>
      <c r="D93" s="27">
        <v>776</v>
      </c>
      <c r="E93" s="27">
        <v>161</v>
      </c>
      <c r="F93" s="27">
        <v>0.32840000000000003</v>
      </c>
      <c r="G93" s="27">
        <v>0.41249999999999998</v>
      </c>
      <c r="H93" s="27">
        <v>963</v>
      </c>
      <c r="I93" s="27">
        <v>43</v>
      </c>
      <c r="J93" s="27">
        <v>3.7429999999999999</v>
      </c>
      <c r="K93" s="27">
        <v>1.175</v>
      </c>
      <c r="L93" s="27">
        <v>3.8210000000000002</v>
      </c>
      <c r="M93" s="27">
        <v>124</v>
      </c>
    </row>
    <row r="94" spans="1:13" ht="15.75" thickBot="1" x14ac:dyDescent="0.3">
      <c r="A94">
        <v>2025</v>
      </c>
      <c r="B94" s="24" t="s">
        <v>2</v>
      </c>
      <c r="C94" s="24" t="s">
        <v>3</v>
      </c>
      <c r="D94" s="24" t="s">
        <v>4</v>
      </c>
      <c r="E94" s="24" t="s">
        <v>5</v>
      </c>
      <c r="F94" s="24" t="s">
        <v>6</v>
      </c>
      <c r="G94" s="24" t="s">
        <v>7</v>
      </c>
      <c r="H94" s="24" t="s">
        <v>8</v>
      </c>
      <c r="I94" s="24" t="s">
        <v>9</v>
      </c>
      <c r="J94" s="24" t="s">
        <v>10</v>
      </c>
      <c r="K94" s="24" t="s">
        <v>11</v>
      </c>
      <c r="L94" s="24" t="s">
        <v>12</v>
      </c>
      <c r="M94" s="24" t="s">
        <v>13</v>
      </c>
    </row>
    <row r="95" spans="1:13" x14ac:dyDescent="0.25">
      <c r="B95" cm="1">
        <f t="array" ref="B95:B106">_xlfn._xlws.SORT(B82:B93,,-1)</f>
        <v>1049</v>
      </c>
      <c r="C95" cm="1">
        <f t="array" ref="C95:C106">_xlfn._xlws.SORT(C82:C93,,-1)</f>
        <v>336</v>
      </c>
      <c r="D95" cm="1">
        <f t="array" ref="D95:D106">_xlfn._xlws.SORT(D82:D93,,-1)</f>
        <v>1077</v>
      </c>
      <c r="E95" cm="1">
        <f t="array" ref="E95:E106">_xlfn._xlws.SORT(E82:E93,,-1)</f>
        <v>225</v>
      </c>
      <c r="F95" cm="1">
        <f t="array" ref="F95:F106">_xlfn._xlws.SORT(F82:F93,,-1)</f>
        <v>0.34239999999999998</v>
      </c>
      <c r="G95" cm="1">
        <f t="array" ref="G95:G106">_xlfn._xlws.SORT(G82:G93,,-1)</f>
        <v>0.46010000000000001</v>
      </c>
      <c r="H95" cm="1">
        <f t="array" ref="H95:H106">_xlfn._xlws.SORT(H82:H93,,-1)</f>
        <v>1717</v>
      </c>
      <c r="I95" cm="1">
        <f t="array" ref="I95:I106">_xlfn._xlws.SORT(I82:I93,,-1)</f>
        <v>120</v>
      </c>
      <c r="J95" cm="1">
        <f t="array" ref="J95:J106">_xlfn._xlws.SORT(J82:J93,,1)</f>
        <v>3.3319999999999999</v>
      </c>
      <c r="K95" cm="1">
        <f t="array" ref="K95:K106">_xlfn._xlws.SORT(K82:K93,,1)</f>
        <v>1.141</v>
      </c>
      <c r="L95" cm="1">
        <f t="array" ref="L95:L106">_xlfn._xlws.SORT(L82:L93,,-1)</f>
        <v>3.8210000000000002</v>
      </c>
      <c r="M95" cm="1">
        <f t="array" ref="M95:M106">_xlfn._xlws.SORT(M82:M93,,-1)</f>
        <v>124</v>
      </c>
    </row>
    <row r="96" spans="1:13" x14ac:dyDescent="0.25">
      <c r="B96">
        <v>1045</v>
      </c>
      <c r="C96">
        <v>329</v>
      </c>
      <c r="D96">
        <v>1029</v>
      </c>
      <c r="E96">
        <v>217</v>
      </c>
      <c r="F96">
        <v>0.33779999999999999</v>
      </c>
      <c r="G96">
        <v>0.44500000000000001</v>
      </c>
      <c r="H96">
        <v>1679</v>
      </c>
      <c r="I96">
        <v>111</v>
      </c>
      <c r="J96">
        <v>3.6480000000000001</v>
      </c>
      <c r="K96">
        <v>1.175</v>
      </c>
      <c r="L96">
        <v>3.476</v>
      </c>
      <c r="M96">
        <v>124</v>
      </c>
    </row>
    <row r="97" spans="2:13" x14ac:dyDescent="0.25">
      <c r="B97">
        <v>1031</v>
      </c>
      <c r="C97">
        <v>294</v>
      </c>
      <c r="D97">
        <v>1004</v>
      </c>
      <c r="E97">
        <v>193</v>
      </c>
      <c r="F97">
        <v>0.33189999999999997</v>
      </c>
      <c r="G97">
        <v>0.44169999999999998</v>
      </c>
      <c r="H97">
        <v>1627</v>
      </c>
      <c r="I97">
        <v>106</v>
      </c>
      <c r="J97">
        <v>3.7029999999999998</v>
      </c>
      <c r="K97">
        <v>1.177</v>
      </c>
      <c r="L97">
        <v>3.306</v>
      </c>
      <c r="M97">
        <v>121</v>
      </c>
    </row>
    <row r="98" spans="2:13" x14ac:dyDescent="0.25">
      <c r="B98">
        <v>1024</v>
      </c>
      <c r="C98">
        <v>290</v>
      </c>
      <c r="D98">
        <v>982</v>
      </c>
      <c r="E98">
        <v>190</v>
      </c>
      <c r="F98">
        <v>0.32840000000000003</v>
      </c>
      <c r="G98">
        <v>0.44090000000000001</v>
      </c>
      <c r="H98">
        <v>1595</v>
      </c>
      <c r="I98">
        <v>105</v>
      </c>
      <c r="J98">
        <v>3.7229999999999999</v>
      </c>
      <c r="K98">
        <v>1.2050000000000001</v>
      </c>
      <c r="L98">
        <v>3.282</v>
      </c>
      <c r="M98">
        <v>114</v>
      </c>
    </row>
    <row r="99" spans="2:13" x14ac:dyDescent="0.25">
      <c r="B99">
        <v>1016</v>
      </c>
      <c r="C99">
        <v>290</v>
      </c>
      <c r="D99">
        <v>979</v>
      </c>
      <c r="E99">
        <v>181</v>
      </c>
      <c r="F99">
        <v>0.32729999999999998</v>
      </c>
      <c r="G99">
        <v>0.4325</v>
      </c>
      <c r="H99">
        <v>1534</v>
      </c>
      <c r="I99">
        <v>98</v>
      </c>
      <c r="J99">
        <v>3.73</v>
      </c>
      <c r="K99">
        <v>1.2050000000000001</v>
      </c>
      <c r="L99">
        <v>3.165</v>
      </c>
      <c r="M99">
        <v>110</v>
      </c>
    </row>
    <row r="100" spans="2:13" x14ac:dyDescent="0.25">
      <c r="B100">
        <v>1010</v>
      </c>
      <c r="C100">
        <v>279</v>
      </c>
      <c r="D100">
        <v>949</v>
      </c>
      <c r="E100">
        <v>167</v>
      </c>
      <c r="F100">
        <v>0.3266</v>
      </c>
      <c r="G100">
        <v>0.432</v>
      </c>
      <c r="H100">
        <v>1504</v>
      </c>
      <c r="I100">
        <v>97</v>
      </c>
      <c r="J100">
        <v>3.7349999999999999</v>
      </c>
      <c r="K100">
        <v>1.2130000000000001</v>
      </c>
      <c r="L100">
        <v>3.1429999999999998</v>
      </c>
      <c r="M100">
        <v>108</v>
      </c>
    </row>
    <row r="101" spans="2:13" x14ac:dyDescent="0.25">
      <c r="B101">
        <v>1008</v>
      </c>
      <c r="C101">
        <v>264</v>
      </c>
      <c r="D101">
        <v>944</v>
      </c>
      <c r="E101">
        <v>161</v>
      </c>
      <c r="F101">
        <v>0.32529999999999998</v>
      </c>
      <c r="G101">
        <v>0.43090000000000001</v>
      </c>
      <c r="H101">
        <v>1453</v>
      </c>
      <c r="I101">
        <v>94</v>
      </c>
      <c r="J101">
        <v>3.7429999999999999</v>
      </c>
      <c r="K101">
        <v>1.2190000000000001</v>
      </c>
      <c r="L101">
        <v>3.1030000000000002</v>
      </c>
      <c r="M101">
        <v>103</v>
      </c>
    </row>
    <row r="102" spans="2:13" x14ac:dyDescent="0.25">
      <c r="B102">
        <v>961</v>
      </c>
      <c r="C102">
        <v>263</v>
      </c>
      <c r="D102">
        <v>908</v>
      </c>
      <c r="E102">
        <v>157</v>
      </c>
      <c r="F102">
        <v>0.32379999999999998</v>
      </c>
      <c r="G102">
        <v>0.43070000000000003</v>
      </c>
      <c r="H102">
        <v>1424</v>
      </c>
      <c r="I102">
        <v>92</v>
      </c>
      <c r="J102">
        <v>3.7679999999999998</v>
      </c>
      <c r="K102">
        <v>1.222</v>
      </c>
      <c r="L102">
        <v>2.996</v>
      </c>
      <c r="M102">
        <v>87</v>
      </c>
    </row>
    <row r="103" spans="2:13" x14ac:dyDescent="0.25">
      <c r="B103">
        <v>931</v>
      </c>
      <c r="C103">
        <v>261</v>
      </c>
      <c r="D103">
        <v>899</v>
      </c>
      <c r="E103">
        <v>143</v>
      </c>
      <c r="F103">
        <v>0.32279999999999998</v>
      </c>
      <c r="G103">
        <v>0.42559999999999998</v>
      </c>
      <c r="H103">
        <v>1181</v>
      </c>
      <c r="I103">
        <v>91</v>
      </c>
      <c r="J103">
        <v>3.867</v>
      </c>
      <c r="K103">
        <v>1.228</v>
      </c>
      <c r="L103">
        <v>2.972</v>
      </c>
      <c r="M103">
        <v>81</v>
      </c>
    </row>
    <row r="104" spans="2:13" x14ac:dyDescent="0.25">
      <c r="B104">
        <v>917</v>
      </c>
      <c r="C104">
        <v>259</v>
      </c>
      <c r="D104">
        <v>891</v>
      </c>
      <c r="E104">
        <v>121</v>
      </c>
      <c r="F104">
        <v>0.32269999999999999</v>
      </c>
      <c r="G104">
        <v>0.42009999999999997</v>
      </c>
      <c r="H104">
        <v>1171</v>
      </c>
      <c r="I104">
        <v>80</v>
      </c>
      <c r="J104">
        <v>4.0979999999999999</v>
      </c>
      <c r="K104">
        <v>1.24</v>
      </c>
      <c r="L104">
        <v>2.8439999999999999</v>
      </c>
      <c r="M104">
        <v>81</v>
      </c>
    </row>
    <row r="105" spans="2:13" x14ac:dyDescent="0.25">
      <c r="B105">
        <v>889</v>
      </c>
      <c r="C105">
        <v>257</v>
      </c>
      <c r="D105">
        <v>856</v>
      </c>
      <c r="E105">
        <v>102</v>
      </c>
      <c r="F105">
        <v>0.32050000000000001</v>
      </c>
      <c r="G105">
        <v>0.41249999999999998</v>
      </c>
      <c r="H105">
        <v>1148</v>
      </c>
      <c r="I105">
        <v>63</v>
      </c>
      <c r="J105">
        <v>4.141</v>
      </c>
      <c r="K105">
        <v>1.2450000000000001</v>
      </c>
      <c r="L105">
        <v>2.7559999999999998</v>
      </c>
      <c r="M105">
        <v>78</v>
      </c>
    </row>
    <row r="106" spans="2:13" x14ac:dyDescent="0.25">
      <c r="B106">
        <v>852</v>
      </c>
      <c r="C106">
        <v>188</v>
      </c>
      <c r="D106">
        <v>776</v>
      </c>
      <c r="E106">
        <v>68</v>
      </c>
      <c r="F106">
        <v>0.31259999999999999</v>
      </c>
      <c r="G106">
        <v>0.41070000000000001</v>
      </c>
      <c r="H106">
        <v>963</v>
      </c>
      <c r="I106">
        <v>43</v>
      </c>
      <c r="J106">
        <v>4.266</v>
      </c>
      <c r="K106">
        <v>1.2589999999999999</v>
      </c>
      <c r="L106">
        <v>2.601</v>
      </c>
      <c r="M106">
        <v>71</v>
      </c>
    </row>
  </sheetData>
  <mergeCells count="4">
    <mergeCell ref="B51:G51"/>
    <mergeCell ref="H51:M51"/>
    <mergeCell ref="B80:G80"/>
    <mergeCell ref="H80:M80"/>
  </mergeCells>
  <conditionalFormatting sqref="Q3:AB14">
    <cfRule type="cellIs" dxfId="1" priority="1" operator="lessThan">
      <formula>Q$44</formula>
    </cfRule>
    <cfRule type="cellIs" dxfId="0" priority="2" operator="greaterThan">
      <formula>Q$45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E317-61B8-40AC-9651-51DC5AB8F31B}">
  <dimension ref="A1:C12"/>
  <sheetViews>
    <sheetView workbookViewId="0">
      <selection activeCell="B12" sqref="B12"/>
    </sheetView>
  </sheetViews>
  <sheetFormatPr defaultRowHeight="15" x14ac:dyDescent="0.25"/>
  <sheetData>
    <row r="1" spans="1:3" x14ac:dyDescent="0.25">
      <c r="A1" t="s">
        <v>2</v>
      </c>
      <c r="B1">
        <f>'Historical Data'!$Q26</f>
        <v>69.793006993007012</v>
      </c>
      <c r="C1">
        <f>'Historical Data'!$Q27</f>
        <v>16.226446280991738</v>
      </c>
    </row>
    <row r="2" spans="1:3" x14ac:dyDescent="0.25">
      <c r="A2" t="s">
        <v>3</v>
      </c>
      <c r="B2">
        <f>'Historical Data'!$R26</f>
        <v>18.550582750582752</v>
      </c>
      <c r="C2">
        <f>'Historical Data'!$R27</f>
        <v>7.1366391184572988</v>
      </c>
    </row>
    <row r="3" spans="1:3" x14ac:dyDescent="0.25">
      <c r="A3" t="s">
        <v>4</v>
      </c>
      <c r="B3">
        <f>'Historical Data'!$S26</f>
        <v>66.730069930069945</v>
      </c>
      <c r="C3">
        <f>'Historical Data'!$S27</f>
        <v>16.505785123966938</v>
      </c>
    </row>
    <row r="4" spans="1:3" x14ac:dyDescent="0.25">
      <c r="A4" t="s">
        <v>5</v>
      </c>
      <c r="B4">
        <f>'Historical Data'!$T26</f>
        <v>7.1776223776223782</v>
      </c>
      <c r="C4">
        <f>'Historical Data'!$T27</f>
        <v>11.130578512396696</v>
      </c>
    </row>
    <row r="5" spans="1:3" x14ac:dyDescent="0.25">
      <c r="A5" t="s">
        <v>6</v>
      </c>
      <c r="B5">
        <f>'Historical Data'!$U26</f>
        <v>0.31711878787878778</v>
      </c>
      <c r="C5">
        <f>'Historical Data'!$U27</f>
        <v>1.8967493112947687E-3</v>
      </c>
    </row>
    <row r="6" spans="1:3" x14ac:dyDescent="0.25">
      <c r="A6" t="s">
        <v>7</v>
      </c>
      <c r="B6">
        <f>'Historical Data'!$V26</f>
        <v>0.41469272727272727</v>
      </c>
      <c r="C6">
        <f>'Historical Data'!$V27</f>
        <v>3.3226446280991695E-3</v>
      </c>
    </row>
    <row r="7" spans="1:3" x14ac:dyDescent="0.25">
      <c r="A7" t="s">
        <v>43</v>
      </c>
      <c r="B7">
        <f>'Historical Data'!$W26</f>
        <v>92.818181818181827</v>
      </c>
      <c r="C7">
        <f>'Historical Data'!$W27</f>
        <v>59.920661157024789</v>
      </c>
    </row>
    <row r="8" spans="1:3" x14ac:dyDescent="0.25">
      <c r="A8" t="s">
        <v>9</v>
      </c>
      <c r="B8">
        <f>'Historical Data'!$X26</f>
        <v>8.6772727272727259</v>
      </c>
      <c r="C8">
        <f>'Historical Data'!$X27</f>
        <v>4.9553719008264467</v>
      </c>
    </row>
    <row r="9" spans="1:3" x14ac:dyDescent="0.25">
      <c r="A9" t="s">
        <v>10</v>
      </c>
      <c r="B9">
        <f>'Historical Data'!$Y26</f>
        <v>4.2237151515151519</v>
      </c>
      <c r="C9">
        <f>'Historical Data'!$Y27</f>
        <v>-7.2483746556473813E-2</v>
      </c>
    </row>
    <row r="10" spans="1:3" x14ac:dyDescent="0.25">
      <c r="A10" t="s">
        <v>11</v>
      </c>
      <c r="B10">
        <f>'Historical Data'!$Z26</f>
        <v>1.2728787878787879</v>
      </c>
      <c r="C10">
        <f>'Historical Data'!$Z27</f>
        <v>-1.1739944903581261E-2</v>
      </c>
    </row>
    <row r="11" spans="1:3" x14ac:dyDescent="0.25">
      <c r="A11" t="s">
        <v>12</v>
      </c>
      <c r="B11">
        <f>'Historical Data'!$AA26</f>
        <v>2.7432848484848491</v>
      </c>
      <c r="C11">
        <f>'Historical Data'!$AA27</f>
        <v>8.5868870523415963E-2</v>
      </c>
    </row>
    <row r="12" spans="1:3" x14ac:dyDescent="0.25">
      <c r="A12" t="s">
        <v>44</v>
      </c>
      <c r="B12">
        <f>'Historical Data'!$AB26</f>
        <v>15.098484848484851</v>
      </c>
      <c r="C12">
        <f>'Historical Data'!$AB27</f>
        <v>6.3763085399449029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Data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Flynn</dc:creator>
  <cp:lastModifiedBy>Alexander Flynn</cp:lastModifiedBy>
  <dcterms:created xsi:type="dcterms:W3CDTF">2025-03-12T21:29:33Z</dcterms:created>
  <dcterms:modified xsi:type="dcterms:W3CDTF">2026-03-19T01:35:02Z</dcterms:modified>
</cp:coreProperties>
</file>